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RD\tmc-processor-public\templates\"/>
    </mc:Choice>
  </mc:AlternateContent>
  <xr:revisionPtr revIDLastSave="0" documentId="13_ncr:1_{76E33117-32C5-4635-9C31-0B3453586197}" xr6:coauthVersionLast="47" xr6:coauthVersionMax="47" xr10:uidLastSave="{00000000-0000-0000-0000-000000000000}"/>
  <bookViews>
    <workbookView xWindow="-110" yWindow="-110" windowWidth="25820" windowHeight="15500" xr2:uid="{E96BB6DC-A3D4-4753-97D1-67BA99371C7D}"/>
  </bookViews>
  <sheets>
    <sheet name="Summary" sheetId="1" r:id="rId1"/>
  </sheets>
  <definedNames>
    <definedName name="_xlnm.Print_Area" localSheetId="0">Summary!$B$2:$AK$64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Q40" i="1" l="1"/>
  <c r="AR40" i="1"/>
  <c r="AS40" i="1"/>
  <c r="AT40" i="1"/>
  <c r="AU40" i="1"/>
  <c r="AV40" i="1"/>
  <c r="AW40" i="1"/>
  <c r="AX40" i="1"/>
  <c r="AY40" i="1"/>
  <c r="AZ40" i="1"/>
  <c r="BA40" i="1"/>
  <c r="AP40" i="1"/>
  <c r="O21" i="1"/>
  <c r="P21" i="1"/>
  <c r="F22" i="1"/>
  <c r="G22" i="1"/>
  <c r="B2" i="1"/>
  <c r="C9" i="1"/>
  <c r="C8" i="1"/>
  <c r="K27" i="1" l="1"/>
  <c r="G20" i="1"/>
  <c r="M27" i="1"/>
  <c r="F19" i="1"/>
  <c r="O23" i="1"/>
  <c r="P23" i="1"/>
  <c r="G19" i="1"/>
  <c r="G21" i="1"/>
  <c r="O22" i="1"/>
  <c r="P22" i="1"/>
  <c r="AD40" i="1" l="1"/>
  <c r="AU38" i="1" s="1"/>
  <c r="AC40" i="1"/>
  <c r="AT38" i="1" s="1"/>
  <c r="AB40" i="1"/>
  <c r="AS38" i="1" s="1"/>
  <c r="AH40" i="1"/>
  <c r="AY38" i="1" s="1"/>
  <c r="AF40" i="1"/>
  <c r="AW38" i="1" s="1"/>
  <c r="M15" i="1"/>
  <c r="AG40" i="1"/>
  <c r="AX38" i="1" s="1"/>
  <c r="K28" i="1"/>
  <c r="K15" i="1"/>
  <c r="P24" i="1"/>
  <c r="L28" i="1"/>
  <c r="L15" i="1"/>
  <c r="M16" i="1"/>
  <c r="AI40" i="1"/>
  <c r="AZ38" i="1" s="1"/>
  <c r="K16" i="1"/>
  <c r="AF22" i="1"/>
  <c r="E20" i="1" s="1"/>
  <c r="AH22" i="1"/>
  <c r="E22" i="1" s="1"/>
  <c r="O24" i="1"/>
  <c r="J28" i="1"/>
  <c r="L27" i="1"/>
  <c r="J27" i="1"/>
  <c r="J16" i="1"/>
  <c r="Z22" i="1"/>
  <c r="J14" i="1" s="1"/>
  <c r="M28" i="1"/>
  <c r="AJ22" i="1"/>
  <c r="Q23" i="1" s="1"/>
  <c r="F21" i="1"/>
  <c r="AK22" i="1"/>
  <c r="Q22" i="1" s="1"/>
  <c r="F20" i="1"/>
  <c r="AB22" i="1"/>
  <c r="K29" i="1" s="1"/>
  <c r="J15" i="1"/>
  <c r="W39" i="1" l="1"/>
  <c r="AE22" i="1"/>
  <c r="E19" i="1" s="1"/>
  <c r="Y40" i="1"/>
  <c r="AP38" i="1" s="1"/>
  <c r="AJ40" i="1"/>
  <c r="BA38" i="1" s="1"/>
  <c r="AG22" i="1"/>
  <c r="E21" i="1" s="1"/>
  <c r="AE40" i="1"/>
  <c r="AV38" i="1" s="1"/>
  <c r="Z40" i="1"/>
  <c r="AQ38" i="1" s="1"/>
  <c r="AA40" i="1"/>
  <c r="AR38" i="1" s="1"/>
  <c r="AI22" i="1"/>
  <c r="Q24" i="1" s="1"/>
  <c r="AA22" i="1"/>
  <c r="J29" i="1" s="1"/>
  <c r="Y22" i="1"/>
  <c r="K14" i="1" s="1"/>
  <c r="AL22" i="1"/>
  <c r="Q21" i="1" s="1"/>
  <c r="AD22" i="1"/>
  <c r="M29" i="1" s="1"/>
  <c r="F31" i="1"/>
  <c r="AC22" i="1"/>
  <c r="L29" i="1" s="1"/>
  <c r="W22" i="1"/>
  <c r="M14" i="1" s="1"/>
  <c r="W33" i="1" l="1"/>
  <c r="W34" i="1"/>
  <c r="W36" i="1"/>
  <c r="W31" i="1"/>
  <c r="W32" i="1"/>
  <c r="W37" i="1"/>
  <c r="W35" i="1"/>
  <c r="X40" i="1"/>
  <c r="X22" i="1"/>
  <c r="L14" i="1" s="1"/>
  <c r="F32" i="1" s="1"/>
  <c r="W38" i="1"/>
  <c r="L16" i="1"/>
  <c r="F30" i="1" s="1"/>
  <c r="W30" i="1"/>
  <c r="AM22" i="1" l="1"/>
  <c r="W28" i="1"/>
  <c r="W29" i="1"/>
  <c r="W40" i="1" l="1"/>
</calcChain>
</file>

<file path=xl/sharedStrings.xml><?xml version="1.0" encoding="utf-8"?>
<sst xmlns="http://schemas.openxmlformats.org/spreadsheetml/2006/main" count="112" uniqueCount="69">
  <si>
    <t>Total</t>
  </si>
  <si>
    <t>MC</t>
  </si>
  <si>
    <t>HB</t>
  </si>
  <si>
    <t>MT</t>
  </si>
  <si>
    <t>HT</t>
  </si>
  <si>
    <t>TR</t>
  </si>
  <si>
    <t>STR</t>
  </si>
  <si>
    <t>LB</t>
  </si>
  <si>
    <t>MB</t>
  </si>
  <si>
    <t>LT</t>
  </si>
  <si>
    <t>NU</t>
  </si>
  <si>
    <t>SU</t>
  </si>
  <si>
    <t>WU</t>
  </si>
  <si>
    <t>EU</t>
  </si>
  <si>
    <t>Bicy</t>
  </si>
  <si>
    <t>PC&lt;7</t>
  </si>
  <si>
    <t>PC&gt;7</t>
  </si>
  <si>
    <t>โครงการ :</t>
  </si>
  <si>
    <t>จุดนับ :</t>
  </si>
  <si>
    <t>วัน :</t>
  </si>
  <si>
    <t>สภาพอากาศ :</t>
  </si>
  <si>
    <t>ผู้รับผิดชอบ :</t>
  </si>
  <si>
    <t>ที่ปรึกษา</t>
  </si>
  <si>
    <t>เวลา :</t>
  </si>
  <si>
    <t>เวลา</t>
  </si>
  <si>
    <t>ปริมาณจราจรแยกตามทิศทาง (PCU)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</si>
  <si>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</si>
  <si>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</si>
  <si>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</si>
  <si>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</si>
  <si>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</si>
  <si>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</si>
  <si>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</si>
  <si>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</si>
  <si>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</si>
  <si>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</si>
  <si>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</si>
  <si>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18.00-19.00</t>
  </si>
  <si>
    <t>ปริมาณจราจรบนทางแยก (คัน)</t>
  </si>
  <si>
    <t>Total (PCU)</t>
  </si>
  <si>
    <t>Total (คัน)</t>
  </si>
  <si>
    <t>เร่งด่วนเช้า</t>
  </si>
  <si>
    <t>เร่งด่วนเย็น</t>
  </si>
  <si>
    <t>รวม 12 ชั่วโมง</t>
  </si>
  <si>
    <t>ทิศทาง</t>
  </si>
  <si>
    <t>ปริมาณจราจรบนทางแยกวันพุธ PCU/12 ชม. (07.00-19.00 น.)</t>
  </si>
  <si>
    <t>การกระจายของปริมาณจราจรบนทางแยก แต่ละช่วงเวลา</t>
  </si>
  <si>
    <t>ทล.N</t>
  </si>
  <si>
    <t>ทล.E</t>
  </si>
  <si>
    <t>ทล.W</t>
  </si>
  <si>
    <t>ทล.S</t>
  </si>
  <si>
    <t>ไปตก</t>
  </si>
  <si>
    <t>ไปเหนือ</t>
  </si>
  <si>
    <t>ไปใต้</t>
  </si>
  <si>
    <t>ไปออก</t>
  </si>
  <si>
    <t>NL</t>
  </si>
  <si>
    <t>NT</t>
  </si>
  <si>
    <t>NR</t>
  </si>
  <si>
    <t>SL</t>
  </si>
  <si>
    <t>ST</t>
  </si>
  <si>
    <t>SR</t>
  </si>
  <si>
    <t>EL</t>
  </si>
  <si>
    <t>ET</t>
  </si>
  <si>
    <t>ER</t>
  </si>
  <si>
    <t>WL</t>
  </si>
  <si>
    <t>WT</t>
  </si>
  <si>
    <t>WR</t>
  </si>
  <si>
    <t>Template version: four_leg_approach_movement_v2</t>
  </si>
  <si>
    <t>Movement code scheme: approach_movement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</si>
</sst>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_-* #,##0.00_-;\-* #,##0.00_-;_-* &quot;-&quot;??_-;_-@_-"/>
    <numFmt numFmtId="166" formatCode="_-* #,##0_-;\-* #,##0_-;_-* &quot;-&quot;??_-;_-@_-"/>
    <numFmt numFmtId="167" formatCode="0.000"/>
  </numFmts>
  <fonts count="18">
    <font>
      <sz val="10"/>
      <name val="Arial"/>
      <charset val="222"/>
    </font>
    <font>
      <sz val="10"/>
      <name val="Arial"/>
      <family val="2"/>
    </font>
    <font>
      <b/>
      <sz val="10"/>
      <name val="TH Sarabun New"/>
      <family val="2"/>
    </font>
    <font>
      <sz val="10"/>
      <name val="TH Sarabun New"/>
      <family val="2"/>
    </font>
    <font>
      <sz val="9"/>
      <name val="TH Sarabun New"/>
      <family val="2"/>
    </font>
    <font>
      <sz val="10"/>
      <color indexed="10"/>
      <name val="TH Sarabun New"/>
      <family val="2"/>
    </font>
    <font>
      <b/>
      <sz val="14"/>
      <name val="TH Sarabun New"/>
      <family val="2"/>
    </font>
    <font>
      <sz val="8"/>
      <name val="TH Sarabun New"/>
      <family val="2"/>
    </font>
    <font>
      <b/>
      <sz val="24"/>
      <name val="TH Sarabun New"/>
      <family val="2"/>
    </font>
    <font>
      <sz val="20"/>
      <name val="TH Sarabun New"/>
      <family val="2"/>
    </font>
    <font>
      <sz val="11"/>
      <name val="TH Sarabun New"/>
      <family val="2"/>
    </font>
    <font>
      <sz val="12"/>
      <name val="TH Sarabun New"/>
      <family val="2"/>
    </font>
    <font>
      <b/>
      <sz val="12"/>
      <name val="TH Sarabun New"/>
      <family val="2"/>
    </font>
    <font>
      <sz val="10"/>
      <color theme="0"/>
      <name val="TH Sarabun New"/>
      <family val="2"/>
    </font>
    <font>
      <sz val="14"/>
      <name val="AngsanaUPC"/>
      <family val="1"/>
    </font>
    <font>
      <b/>
      <sz val="10"/>
      <color theme="1"/>
      <name val="TH Sarabun New"/>
      <family val="2"/>
    </font>
    <font>
      <b/>
      <sz val="16"/>
      <name val="TH Sarabun New"/>
      <family val="2"/>
    </font>
    <font>
      <sz val="16"/>
      <name val="TH Sarabun Ne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4" fillId="0" borderId="0"/>
  </cellStyleXfs>
  <cellXfs count="160">
    <xf numFmtId="0" fontId="0" fillId="0" borderId="0" xfId="0"/>
    <xf numFmtId="0" fontId="3" fillId="0" borderId="0" xfId="3" applyFont="1" applyAlignment="1">
      <alignment horizontal="center"/>
    </xf>
    <xf numFmtId="0" fontId="3" fillId="0" borderId="0" xfId="3" applyFont="1"/>
    <xf numFmtId="0" fontId="4" fillId="0" borderId="0" xfId="3" applyFont="1"/>
    <xf numFmtId="0" fontId="5" fillId="0" borderId="0" xfId="3" applyFont="1"/>
    <xf numFmtId="0" fontId="3" fillId="0" borderId="0" xfId="3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3" applyFont="1" applyAlignment="1">
      <alignment vertical="center"/>
    </xf>
    <xf numFmtId="0" fontId="9" fillId="2" borderId="12" xfId="3" applyFont="1" applyFill="1" applyBorder="1" applyAlignment="1">
      <alignment horizontal="center" vertical="center"/>
    </xf>
    <xf numFmtId="0" fontId="9" fillId="2" borderId="0" xfId="3" applyFont="1" applyFill="1" applyAlignment="1">
      <alignment horizontal="center" vertical="center"/>
    </xf>
    <xf numFmtId="0" fontId="3" fillId="2" borderId="0" xfId="3" applyFont="1" applyFill="1" applyAlignment="1">
      <alignment vertical="center"/>
    </xf>
    <xf numFmtId="0" fontId="3" fillId="2" borderId="13" xfId="3" applyFont="1" applyFill="1" applyBorder="1" applyAlignment="1">
      <alignment vertical="center"/>
    </xf>
    <xf numFmtId="0" fontId="3" fillId="2" borderId="12" xfId="3" applyFont="1" applyFill="1" applyBorder="1" applyAlignment="1">
      <alignment vertical="center"/>
    </xf>
    <xf numFmtId="0" fontId="10" fillId="2" borderId="0" xfId="3" applyFont="1" applyFill="1" applyAlignment="1">
      <alignment vertical="center" wrapText="1"/>
    </xf>
    <xf numFmtId="0" fontId="10" fillId="2" borderId="13" xfId="3" applyFont="1" applyFill="1" applyBorder="1" applyAlignment="1">
      <alignment vertical="center" wrapText="1"/>
    </xf>
    <xf numFmtId="0" fontId="11" fillId="2" borderId="12" xfId="3" applyFont="1" applyFill="1" applyBorder="1" applyAlignment="1">
      <alignment vertical="center"/>
    </xf>
    <xf numFmtId="0" fontId="10" fillId="2" borderId="14" xfId="3" applyFont="1" applyFill="1" applyBorder="1" applyAlignment="1">
      <alignment vertical="center"/>
    </xf>
    <xf numFmtId="0" fontId="10" fillId="2" borderId="0" xfId="3" applyFont="1" applyFill="1" applyAlignment="1">
      <alignment vertical="center"/>
    </xf>
    <xf numFmtId="15" fontId="3" fillId="2" borderId="0" xfId="0" quotePrefix="1" applyNumberFormat="1" applyFont="1" applyFill="1" applyAlignment="1" applyProtection="1">
      <alignment vertical="center"/>
      <protection locked="0"/>
    </xf>
    <xf numFmtId="0" fontId="11" fillId="2" borderId="14" xfId="3" applyFont="1" applyFill="1" applyBorder="1" applyAlignment="1">
      <alignment vertical="center"/>
    </xf>
    <xf numFmtId="0" fontId="11" fillId="2" borderId="0" xfId="3" applyFont="1" applyFill="1" applyAlignment="1">
      <alignment vertical="center"/>
    </xf>
    <xf numFmtId="0" fontId="11" fillId="0" borderId="0" xfId="3" applyFont="1" applyAlignment="1">
      <alignment vertical="center"/>
    </xf>
    <xf numFmtId="0" fontId="10" fillId="2" borderId="0" xfId="3" applyFont="1" applyFill="1" applyAlignment="1">
      <alignment horizontal="center" vertical="center"/>
    </xf>
    <xf numFmtId="0" fontId="10" fillId="2" borderId="13" xfId="3" applyFont="1" applyFill="1" applyBorder="1" applyAlignment="1">
      <alignment vertical="center"/>
    </xf>
    <xf numFmtId="0" fontId="10" fillId="2" borderId="14" xfId="3" quotePrefix="1" applyFont="1" applyFill="1" applyBorder="1" applyAlignment="1">
      <alignment horizontal="left" vertical="center"/>
    </xf>
    <xf numFmtId="0" fontId="11" fillId="2" borderId="13" xfId="3" applyFont="1" applyFill="1" applyBorder="1" applyAlignment="1">
      <alignment vertical="center"/>
    </xf>
    <xf numFmtId="0" fontId="3" fillId="2" borderId="12" xfId="3" applyFont="1" applyFill="1" applyBorder="1"/>
    <xf numFmtId="0" fontId="3" fillId="2" borderId="0" xfId="3" applyFont="1" applyFill="1"/>
    <xf numFmtId="0" fontId="3" fillId="2" borderId="0" xfId="3" applyFont="1" applyFill="1" applyAlignment="1">
      <alignment horizontal="left"/>
    </xf>
    <xf numFmtId="0" fontId="4" fillId="2" borderId="0" xfId="3" quotePrefix="1" applyFont="1" applyFill="1"/>
    <xf numFmtId="0" fontId="2" fillId="2" borderId="19" xfId="3" applyFont="1" applyFill="1" applyBorder="1" applyAlignment="1">
      <alignment vertical="center"/>
    </xf>
    <xf numFmtId="0" fontId="3" fillId="2" borderId="19" xfId="3" applyFont="1" applyFill="1" applyBorder="1" applyAlignment="1">
      <alignment horizontal="left"/>
    </xf>
    <xf numFmtId="0" fontId="2" fillId="2" borderId="20" xfId="3" applyFont="1" applyFill="1" applyBorder="1"/>
    <xf numFmtId="0" fontId="11" fillId="2" borderId="0" xfId="3" applyFont="1" applyFill="1" applyAlignment="1">
      <alignment vertical="center" wrapText="1"/>
    </xf>
    <xf numFmtId="0" fontId="2" fillId="2" borderId="0" xfId="3" applyFont="1" applyFill="1" applyAlignment="1">
      <alignment vertical="center"/>
    </xf>
    <xf numFmtId="0" fontId="3" fillId="2" borderId="0" xfId="3" applyFont="1" applyFill="1" applyAlignment="1">
      <alignment vertical="center" wrapText="1"/>
    </xf>
    <xf numFmtId="0" fontId="3" fillId="2" borderId="13" xfId="3" applyFont="1" applyFill="1" applyBorder="1" applyAlignment="1">
      <alignment vertical="center" wrapText="1"/>
    </xf>
    <xf numFmtId="0" fontId="13" fillId="2" borderId="0" xfId="3" applyFont="1" applyFill="1"/>
    <xf numFmtId="0" fontId="2" fillId="4" borderId="5" xfId="3" applyFont="1" applyFill="1" applyBorder="1" applyAlignment="1">
      <alignment horizontal="center" vertical="center"/>
    </xf>
    <xf numFmtId="0" fontId="2" fillId="4" borderId="4" xfId="3" applyFont="1" applyFill="1" applyBorder="1" applyAlignment="1">
      <alignment horizontal="center" vertical="center"/>
    </xf>
    <xf numFmtId="0" fontId="2" fillId="4" borderId="6" xfId="3" applyFont="1" applyFill="1" applyBorder="1" applyAlignment="1">
      <alignment horizontal="center" vertical="center"/>
    </xf>
    <xf numFmtId="0" fontId="2" fillId="4" borderId="25" xfId="3" applyFont="1" applyFill="1" applyBorder="1" applyAlignment="1">
      <alignment horizontal="center" vertical="center"/>
    </xf>
    <xf numFmtId="0" fontId="3" fillId="2" borderId="12" xfId="3" applyFont="1" applyFill="1" applyBorder="1" applyAlignment="1">
      <alignment horizontal="left"/>
    </xf>
    <xf numFmtId="0" fontId="3" fillId="0" borderId="12" xfId="3" applyFont="1" applyBorder="1"/>
    <xf numFmtId="0" fontId="13" fillId="2" borderId="0" xfId="3" applyFont="1" applyFill="1" applyAlignment="1">
      <alignment vertical="center"/>
    </xf>
    <xf numFmtId="0" fontId="3" fillId="2" borderId="27" xfId="3" quotePrefix="1" applyFont="1" applyFill="1" applyBorder="1" applyAlignment="1">
      <alignment horizontal="center" vertical="center"/>
    </xf>
    <xf numFmtId="3" fontId="3" fillId="2" borderId="8" xfId="3" applyNumberFormat="1" applyFont="1" applyFill="1" applyBorder="1" applyAlignment="1">
      <alignment horizontal="center" vertical="center"/>
    </xf>
    <xf numFmtId="3" fontId="3" fillId="2" borderId="28" xfId="3" applyNumberFormat="1" applyFont="1" applyFill="1" applyBorder="1" applyAlignment="1">
      <alignment horizontal="center" vertical="center"/>
    </xf>
    <xf numFmtId="3" fontId="3" fillId="2" borderId="29" xfId="3" applyNumberFormat="1" applyFont="1" applyFill="1" applyBorder="1" applyAlignment="1">
      <alignment horizontal="center" vertical="center"/>
    </xf>
    <xf numFmtId="0" fontId="2" fillId="2" borderId="12" xfId="3" applyFont="1" applyFill="1" applyBorder="1" applyAlignment="1">
      <alignment vertical="center"/>
    </xf>
    <xf numFmtId="0" fontId="2" fillId="2" borderId="13" xfId="3" applyFont="1" applyFill="1" applyBorder="1" applyAlignment="1">
      <alignment horizontal="center" vertical="center"/>
    </xf>
    <xf numFmtId="0" fontId="2" fillId="3" borderId="10" xfId="3" applyFont="1" applyFill="1" applyBorder="1" applyAlignment="1">
      <alignment horizontal="center" vertical="center"/>
    </xf>
    <xf numFmtId="0" fontId="2" fillId="2" borderId="0" xfId="3" applyFont="1" applyFill="1" applyAlignment="1">
      <alignment horizontal="center" vertical="center"/>
    </xf>
    <xf numFmtId="3" fontId="2" fillId="5" borderId="10" xfId="3" applyNumberFormat="1" applyFont="1" applyFill="1" applyBorder="1" applyAlignment="1">
      <alignment horizontal="center" vertical="center"/>
    </xf>
    <xf numFmtId="0" fontId="2" fillId="2" borderId="13" xfId="3" applyFont="1" applyFill="1" applyBorder="1"/>
    <xf numFmtId="3" fontId="2" fillId="6" borderId="10" xfId="3" applyNumberFormat="1" applyFont="1" applyFill="1" applyBorder="1" applyAlignment="1">
      <alignment horizontal="center" vertical="center"/>
    </xf>
    <xf numFmtId="3" fontId="2" fillId="7" borderId="10" xfId="3" applyNumberFormat="1" applyFont="1" applyFill="1" applyBorder="1" applyAlignment="1">
      <alignment horizontal="center" vertical="center"/>
    </xf>
    <xf numFmtId="0" fontId="2" fillId="2" borderId="0" xfId="3" applyFont="1" applyFill="1" applyAlignment="1">
      <alignment horizontal="center"/>
    </xf>
    <xf numFmtId="0" fontId="3" fillId="2" borderId="13" xfId="3" applyFont="1" applyFill="1" applyBorder="1"/>
    <xf numFmtId="0" fontId="2" fillId="2" borderId="12" xfId="3" quotePrefix="1" applyFont="1" applyFill="1" applyBorder="1" applyAlignment="1">
      <alignment horizontal="center"/>
    </xf>
    <xf numFmtId="0" fontId="3" fillId="2" borderId="0" xfId="3" applyFont="1" applyFill="1" applyAlignment="1">
      <alignment horizontal="center"/>
    </xf>
    <xf numFmtId="0" fontId="2" fillId="2" borderId="0" xfId="3" applyFont="1" applyFill="1"/>
    <xf numFmtId="0" fontId="2" fillId="2" borderId="13" xfId="3" quotePrefix="1" applyFont="1" applyFill="1" applyBorder="1" applyAlignment="1">
      <alignment vertical="center"/>
    </xf>
    <xf numFmtId="0" fontId="12" fillId="2" borderId="12" xfId="3" applyFont="1" applyFill="1" applyBorder="1" applyAlignment="1">
      <alignment vertical="center"/>
    </xf>
    <xf numFmtId="0" fontId="3" fillId="2" borderId="27" xfId="3" applyFont="1" applyFill="1" applyBorder="1" applyAlignment="1">
      <alignment horizontal="center" vertical="center"/>
    </xf>
    <xf numFmtId="0" fontId="3" fillId="2" borderId="0" xfId="3" applyFont="1" applyFill="1" applyAlignment="1">
      <alignment horizontal="right"/>
    </xf>
    <xf numFmtId="0" fontId="2" fillId="4" borderId="15" xfId="3" applyFont="1" applyFill="1" applyBorder="1" applyAlignment="1">
      <alignment horizontal="center" vertical="center"/>
    </xf>
    <xf numFmtId="3" fontId="2" fillId="4" borderId="5" xfId="3" applyNumberFormat="1" applyFont="1" applyFill="1" applyBorder="1" applyAlignment="1">
      <alignment horizontal="center" vertical="center"/>
    </xf>
    <xf numFmtId="3" fontId="2" fillId="4" borderId="4" xfId="3" applyNumberFormat="1" applyFont="1" applyFill="1" applyBorder="1" applyAlignment="1">
      <alignment horizontal="center" vertical="center"/>
    </xf>
    <xf numFmtId="3" fontId="2" fillId="4" borderId="6" xfId="3" applyNumberFormat="1" applyFont="1" applyFill="1" applyBorder="1" applyAlignment="1">
      <alignment horizontal="center" vertical="center"/>
    </xf>
    <xf numFmtId="3" fontId="2" fillId="4" borderId="3" xfId="3" applyNumberFormat="1" applyFont="1" applyFill="1" applyBorder="1" applyAlignment="1">
      <alignment horizontal="center" vertical="center"/>
    </xf>
    <xf numFmtId="3" fontId="2" fillId="2" borderId="0" xfId="3" applyNumberFormat="1" applyFont="1" applyFill="1" applyAlignment="1">
      <alignment vertical="center"/>
    </xf>
    <xf numFmtId="0" fontId="6" fillId="2" borderId="0" xfId="3" quotePrefix="1" applyFont="1" applyFill="1" applyAlignment="1">
      <alignment vertical="center"/>
    </xf>
    <xf numFmtId="0" fontId="6" fillId="2" borderId="12" xfId="3" quotePrefix="1" applyFont="1" applyFill="1" applyBorder="1" applyAlignment="1">
      <alignment vertical="center"/>
    </xf>
    <xf numFmtId="3" fontId="3" fillId="2" borderId="0" xfId="3" applyNumberFormat="1" applyFont="1" applyFill="1"/>
    <xf numFmtId="3" fontId="2" fillId="2" borderId="0" xfId="3" applyNumberFormat="1" applyFont="1" applyFill="1"/>
    <xf numFmtId="0" fontId="2" fillId="2" borderId="0" xfId="3" applyFont="1" applyFill="1" applyAlignment="1">
      <alignment vertical="top"/>
    </xf>
    <xf numFmtId="0" fontId="2" fillId="2" borderId="0" xfId="3" quotePrefix="1" applyFont="1" applyFill="1" applyAlignment="1">
      <alignment vertical="center"/>
    </xf>
    <xf numFmtId="0" fontId="2" fillId="2" borderId="12" xfId="3" quotePrefix="1" applyFont="1" applyFill="1" applyBorder="1" applyAlignment="1">
      <alignment vertical="center"/>
    </xf>
    <xf numFmtId="0" fontId="2" fillId="4" borderId="16" xfId="3" applyFont="1" applyFill="1" applyBorder="1" applyAlignment="1">
      <alignment horizontal="center" vertical="center"/>
    </xf>
    <xf numFmtId="0" fontId="2" fillId="4" borderId="3" xfId="3" applyFont="1" applyFill="1" applyBorder="1" applyAlignment="1">
      <alignment horizontal="center" vertical="center"/>
    </xf>
    <xf numFmtId="0" fontId="11" fillId="2" borderId="12" xfId="3" applyFont="1" applyFill="1" applyBorder="1" applyAlignment="1">
      <alignment vertical="center" wrapText="1"/>
    </xf>
    <xf numFmtId="3" fontId="3" fillId="2" borderId="9" xfId="3" applyNumberFormat="1" applyFont="1" applyFill="1" applyBorder="1" applyAlignment="1">
      <alignment horizontal="center" vertical="center"/>
    </xf>
    <xf numFmtId="3" fontId="3" fillId="2" borderId="10" xfId="3" applyNumberFormat="1" applyFont="1" applyFill="1" applyBorder="1" applyAlignment="1">
      <alignment horizontal="center" vertical="center"/>
    </xf>
    <xf numFmtId="0" fontId="3" fillId="2" borderId="10" xfId="3" applyFont="1" applyFill="1" applyBorder="1" applyAlignment="1">
      <alignment horizontal="center" vertical="center"/>
    </xf>
    <xf numFmtId="3" fontId="3" fillId="2" borderId="17" xfId="3" applyNumberFormat="1" applyFont="1" applyFill="1" applyBorder="1" applyAlignment="1">
      <alignment horizontal="center" vertical="center"/>
    </xf>
    <xf numFmtId="3" fontId="15" fillId="7" borderId="10" xfId="3" applyNumberFormat="1" applyFont="1" applyFill="1" applyBorder="1" applyAlignment="1">
      <alignment horizontal="center" vertical="center"/>
    </xf>
    <xf numFmtId="164" fontId="3" fillId="2" borderId="0" xfId="2" applyNumberFormat="1" applyFont="1" applyFill="1"/>
    <xf numFmtId="0" fontId="3" fillId="2" borderId="30" xfId="3" applyFont="1" applyFill="1" applyBorder="1" applyAlignment="1">
      <alignment horizontal="center" vertical="center"/>
    </xf>
    <xf numFmtId="3" fontId="3" fillId="2" borderId="22" xfId="3" applyNumberFormat="1" applyFont="1" applyFill="1" applyBorder="1" applyAlignment="1">
      <alignment horizontal="center" vertical="center"/>
    </xf>
    <xf numFmtId="3" fontId="3" fillId="2" borderId="11" xfId="3" applyNumberFormat="1" applyFont="1" applyFill="1" applyBorder="1" applyAlignment="1">
      <alignment horizontal="center" vertical="center"/>
    </xf>
    <xf numFmtId="0" fontId="3" fillId="2" borderId="11" xfId="3" applyFont="1" applyFill="1" applyBorder="1" applyAlignment="1">
      <alignment horizontal="center" vertical="center"/>
    </xf>
    <xf numFmtId="3" fontId="3" fillId="2" borderId="31" xfId="3" applyNumberFormat="1" applyFont="1" applyFill="1" applyBorder="1" applyAlignment="1">
      <alignment horizontal="center" vertical="center"/>
    </xf>
    <xf numFmtId="0" fontId="2" fillId="2" borderId="13" xfId="3" quotePrefix="1" applyFont="1" applyFill="1" applyBorder="1"/>
    <xf numFmtId="0" fontId="16" fillId="2" borderId="0" xfId="3" quotePrefix="1" applyFont="1" applyFill="1"/>
    <xf numFmtId="0" fontId="2" fillId="2" borderId="0" xfId="3" quotePrefix="1" applyFont="1" applyFill="1"/>
    <xf numFmtId="3" fontId="3" fillId="0" borderId="0" xfId="3" applyNumberFormat="1" applyFont="1" applyAlignment="1">
      <alignment horizontal="center"/>
    </xf>
    <xf numFmtId="0" fontId="16" fillId="2" borderId="0" xfId="3" quotePrefix="1" applyFont="1" applyFill="1" applyAlignment="1">
      <alignment horizontal="center" vertical="center"/>
    </xf>
    <xf numFmtId="0" fontId="3" fillId="2" borderId="23" xfId="3" applyFont="1" applyFill="1" applyBorder="1" applyAlignment="1">
      <alignment horizontal="left"/>
    </xf>
    <xf numFmtId="0" fontId="3" fillId="2" borderId="24" xfId="3" applyFont="1" applyFill="1" applyBorder="1" applyAlignment="1">
      <alignment horizontal="left"/>
    </xf>
    <xf numFmtId="0" fontId="3" fillId="2" borderId="24" xfId="3" applyFont="1" applyFill="1" applyBorder="1" applyAlignment="1">
      <alignment vertical="center" wrapText="1"/>
    </xf>
    <xf numFmtId="0" fontId="3" fillId="2" borderId="25" xfId="3" applyFont="1" applyFill="1" applyBorder="1" applyAlignment="1">
      <alignment vertical="center" wrapText="1"/>
    </xf>
    <xf numFmtId="3" fontId="2" fillId="4" borderId="15" xfId="3" applyNumberFormat="1" applyFont="1" applyFill="1" applyBorder="1" applyAlignment="1">
      <alignment horizontal="center" vertical="center"/>
    </xf>
    <xf numFmtId="3" fontId="2" fillId="4" borderId="16" xfId="3" applyNumberFormat="1" applyFont="1" applyFill="1" applyBorder="1" applyAlignment="1">
      <alignment horizontal="center" vertical="center"/>
    </xf>
    <xf numFmtId="3" fontId="2" fillId="4" borderId="32" xfId="3" applyNumberFormat="1" applyFont="1" applyFill="1" applyBorder="1" applyAlignment="1">
      <alignment horizontal="center" vertical="center"/>
    </xf>
    <xf numFmtId="0" fontId="7" fillId="2" borderId="0" xfId="3" quotePrefix="1" applyFont="1" applyFill="1" applyAlignment="1">
      <alignment horizontal="center"/>
    </xf>
    <xf numFmtId="3" fontId="7" fillId="2" borderId="0" xfId="3" applyNumberFormat="1" applyFont="1" applyFill="1" applyAlignment="1">
      <alignment horizontal="center" vertical="center"/>
    </xf>
    <xf numFmtId="3" fontId="7" fillId="2" borderId="0" xfId="1" applyNumberFormat="1" applyFont="1" applyFill="1" applyBorder="1" applyAlignment="1" applyProtection="1">
      <alignment horizontal="center"/>
    </xf>
    <xf numFmtId="3" fontId="7" fillId="2" borderId="0" xfId="3" applyNumberFormat="1" applyFont="1" applyFill="1" applyAlignment="1">
      <alignment horizontal="center"/>
    </xf>
    <xf numFmtId="0" fontId="6" fillId="2" borderId="0" xfId="3" applyFont="1" applyFill="1" applyAlignment="1">
      <alignment horizontal="center"/>
    </xf>
    <xf numFmtId="0" fontId="6" fillId="2" borderId="0" xfId="3" applyFont="1" applyFill="1"/>
    <xf numFmtId="0" fontId="6" fillId="2" borderId="0" xfId="3" applyFont="1" applyFill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3" fillId="2" borderId="23" xfId="3" applyFont="1" applyFill="1" applyBorder="1"/>
    <xf numFmtId="0" fontId="3" fillId="2" borderId="24" xfId="3" applyFont="1" applyFill="1" applyBorder="1"/>
    <xf numFmtId="0" fontId="16" fillId="2" borderId="24" xfId="3" applyFont="1" applyFill="1" applyBorder="1"/>
    <xf numFmtId="0" fontId="3" fillId="2" borderId="24" xfId="3" applyFont="1" applyFill="1" applyBorder="1" applyAlignment="1">
      <alignment horizontal="center"/>
    </xf>
    <xf numFmtId="0" fontId="3" fillId="2" borderId="25" xfId="3" applyFont="1" applyFill="1" applyBorder="1"/>
    <xf numFmtId="0" fontId="3" fillId="0" borderId="0" xfId="3" applyFont="1" applyAlignment="1">
      <alignment horizontal="center" vertical="center" wrapText="1"/>
    </xf>
    <xf numFmtId="166" fontId="3" fillId="0" borderId="0" xfId="1" applyNumberFormat="1" applyFont="1" applyBorder="1" applyAlignment="1" applyProtection="1">
      <alignment horizontal="center" vertical="center" wrapText="1"/>
    </xf>
    <xf numFmtId="0" fontId="16" fillId="0" borderId="0" xfId="3" applyFont="1"/>
    <xf numFmtId="0" fontId="16" fillId="0" borderId="0" xfId="3" applyFont="1" applyAlignment="1">
      <alignment horizontal="center"/>
    </xf>
    <xf numFmtId="167" fontId="3" fillId="0" borderId="0" xfId="3" applyNumberFormat="1" applyFont="1" applyAlignment="1">
      <alignment horizontal="center"/>
    </xf>
    <xf numFmtId="0" fontId="11" fillId="0" borderId="0" xfId="3" applyFont="1" applyAlignment="1">
      <alignment vertical="center" wrapText="1"/>
    </xf>
    <xf numFmtId="0" fontId="16" fillId="0" borderId="0" xfId="3" quotePrefix="1" applyFont="1"/>
    <xf numFmtId="0" fontId="7" fillId="0" borderId="0" xfId="3" applyFont="1"/>
    <xf numFmtId="0" fontId="17" fillId="0" borderId="0" xfId="3" applyFont="1"/>
    <xf numFmtId="3" fontId="3" fillId="0" borderId="0" xfId="3" applyNumberFormat="1" applyFont="1"/>
    <xf numFmtId="10" fontId="3" fillId="0" borderId="0" xfId="2" applyNumberFormat="1" applyFont="1"/>
    <xf numFmtId="0" fontId="2" fillId="0" borderId="0" xfId="3" applyFont="1"/>
    <xf numFmtId="0" fontId="2" fillId="4" borderId="1" xfId="3" quotePrefix="1" applyFont="1" applyFill="1" applyBorder="1" applyAlignment="1">
      <alignment horizontal="center" vertical="center"/>
    </xf>
    <xf numFmtId="0" fontId="2" fillId="4" borderId="2" xfId="3" quotePrefix="1" applyFont="1" applyFill="1" applyBorder="1" applyAlignment="1">
      <alignment horizontal="center" vertical="center"/>
    </xf>
    <xf numFmtId="0" fontId="2" fillId="4" borderId="3" xfId="3" quotePrefix="1" applyFont="1" applyFill="1" applyBorder="1" applyAlignment="1">
      <alignment horizontal="center" vertical="center"/>
    </xf>
    <xf numFmtId="15" fontId="12" fillId="2" borderId="23" xfId="3" applyNumberFormat="1" applyFont="1" applyFill="1" applyBorder="1" applyAlignment="1">
      <alignment horizontal="center" vertical="center"/>
    </xf>
    <xf numFmtId="15" fontId="12" fillId="2" borderId="24" xfId="3" applyNumberFormat="1" applyFont="1" applyFill="1" applyBorder="1" applyAlignment="1">
      <alignment horizontal="center" vertical="center"/>
    </xf>
    <xf numFmtId="15" fontId="12" fillId="2" borderId="25" xfId="3" applyNumberFormat="1" applyFont="1" applyFill="1" applyBorder="1" applyAlignment="1">
      <alignment horizontal="center" vertical="center"/>
    </xf>
    <xf numFmtId="0" fontId="8" fillId="0" borderId="1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10" fillId="2" borderId="0" xfId="3" applyFont="1" applyFill="1" applyAlignment="1">
      <alignment horizontal="left" vertical="center"/>
    </xf>
    <xf numFmtId="0" fontId="10" fillId="2" borderId="7" xfId="3" applyFont="1" applyFill="1" applyBorder="1" applyAlignment="1">
      <alignment horizontal="left" vertical="center" wrapText="1"/>
    </xf>
    <xf numFmtId="49" fontId="3" fillId="2" borderId="14" xfId="0" quotePrefix="1" applyNumberFormat="1" applyFont="1" applyFill="1" applyBorder="1" applyAlignment="1" applyProtection="1">
      <alignment horizontal="left" vertical="center"/>
      <protection locked="0"/>
    </xf>
    <xf numFmtId="15" fontId="3" fillId="2" borderId="14" xfId="0" quotePrefix="1" applyNumberFormat="1" applyFont="1" applyFill="1" applyBorder="1" applyAlignment="1" applyProtection="1">
      <alignment horizontal="left" vertical="center"/>
      <protection locked="0"/>
    </xf>
    <xf numFmtId="0" fontId="10" fillId="2" borderId="14" xfId="3" applyFont="1" applyFill="1" applyBorder="1" applyAlignment="1">
      <alignment horizontal="left" vertical="center"/>
    </xf>
    <xf numFmtId="0" fontId="12" fillId="2" borderId="18" xfId="3" applyFont="1" applyFill="1" applyBorder="1" applyAlignment="1">
      <alignment horizontal="center" vertical="center"/>
    </xf>
    <xf numFmtId="0" fontId="12" fillId="2" borderId="19" xfId="3" applyFont="1" applyFill="1" applyBorder="1" applyAlignment="1">
      <alignment horizontal="center" vertical="center"/>
    </xf>
    <xf numFmtId="0" fontId="12" fillId="2" borderId="20" xfId="3" applyFont="1" applyFill="1" applyBorder="1" applyAlignment="1">
      <alignment horizontal="center" vertical="center"/>
    </xf>
    <xf numFmtId="0" fontId="2" fillId="2" borderId="19" xfId="3" applyFont="1" applyFill="1" applyBorder="1" applyAlignment="1">
      <alignment horizontal="center"/>
    </xf>
    <xf numFmtId="0" fontId="2" fillId="4" borderId="21" xfId="3" applyFont="1" applyFill="1" applyBorder="1" applyAlignment="1">
      <alignment horizontal="center" vertical="center"/>
    </xf>
    <xf numFmtId="0" fontId="2" fillId="4" borderId="26" xfId="3" applyFont="1" applyFill="1" applyBorder="1" applyAlignment="1">
      <alignment horizontal="center" vertical="center"/>
    </xf>
    <xf numFmtId="3" fontId="3" fillId="2" borderId="19" xfId="3" applyNumberFormat="1" applyFont="1" applyFill="1" applyBorder="1" applyAlignment="1">
      <alignment horizontal="center" vertical="center"/>
    </xf>
    <xf numFmtId="10" fontId="3" fillId="2" borderId="0" xfId="2" applyNumberFormat="1" applyFont="1" applyFill="1" applyBorder="1" applyAlignment="1" applyProtection="1">
      <alignment horizontal="center" vertical="center"/>
    </xf>
    <xf numFmtId="0" fontId="2" fillId="3" borderId="10" xfId="3" applyFont="1" applyFill="1" applyBorder="1" applyAlignment="1">
      <alignment horizontal="center" vertical="center"/>
    </xf>
    <xf numFmtId="0" fontId="16" fillId="2" borderId="0" xfId="3" quotePrefix="1" applyFont="1" applyFill="1" applyAlignment="1">
      <alignment horizontal="center" vertical="center"/>
    </xf>
    <xf numFmtId="0" fontId="16" fillId="2" borderId="24" xfId="3" quotePrefix="1" applyFont="1" applyFill="1" applyBorder="1" applyAlignment="1">
      <alignment horizontal="center" vertical="center"/>
    </xf>
    <xf numFmtId="0" fontId="16" fillId="2" borderId="12" xfId="3" quotePrefix="1" applyFont="1" applyFill="1" applyBorder="1" applyAlignment="1">
      <alignment horizontal="center"/>
    </xf>
    <xf numFmtId="0" fontId="16" fillId="2" borderId="0" xfId="3" quotePrefix="1" applyFont="1" applyFill="1" applyAlignment="1">
      <alignment horizontal="center"/>
    </xf>
    <xf numFmtId="3" fontId="15" fillId="7" borderId="10" xfId="3" applyNumberFormat="1" applyFont="1" applyFill="1" applyBorder="1" applyAlignment="1">
      <alignment horizontal="center" vertical="center"/>
    </xf>
    <xf numFmtId="3" fontId="2" fillId="6" borderId="10" xfId="3" applyNumberFormat="1" applyFont="1" applyFill="1" applyBorder="1" applyAlignment="1">
      <alignment horizontal="center" vertical="center"/>
    </xf>
    <xf numFmtId="3" fontId="2" fillId="5" borderId="10" xfId="3" applyNumberFormat="1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4" xr:uid="{B53FE179-FA1C-4F01-9CFD-C57C801FCD2E}"/>
    <cellStyle name="Percent" xfId="2" builtinId="5"/>
    <cellStyle name="ปกติ_Traffic Survey" xfId="3" xr:uid="{80E965E7-3AAD-4ACD-A55D-BD3076AF23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952940314866704E-2"/>
          <c:y val="4.5613688237985339E-2"/>
          <c:w val="0.88384222809415991"/>
          <c:h val="0.7685317178863126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Summary!$V$10:$V$21</c:f>
              <c:strCache>
                <c:ptCount val="12"/>
                <c:pt idx="0">
                  <c:v>07:00-08:00</c:v>
                </c:pt>
                <c:pt idx="1">
                  <c:v>08:00-09:00</c:v>
                </c:pt>
                <c:pt idx="2">
                  <c:v>09:00-10:00</c:v>
                </c:pt>
                <c:pt idx="3">
                  <c:v>10:00-11:00</c:v>
                </c:pt>
                <c:pt idx="4">
                  <c:v>11:00-12:00</c:v>
                </c:pt>
                <c:pt idx="5">
                  <c:v>12:00-13:00</c:v>
                </c:pt>
                <c:pt idx="6">
                  <c:v>13:00-14:00</c:v>
                </c:pt>
                <c:pt idx="7">
                  <c:v>14:00-15:00</c:v>
                </c:pt>
                <c:pt idx="8">
                  <c:v>15:00-16:00</c:v>
                </c:pt>
                <c:pt idx="9">
                  <c:v>16:00-17:00</c:v>
                </c:pt>
                <c:pt idx="10">
                  <c:v>17:00-18:00</c:v>
                </c:pt>
                <c:pt idx="11">
                  <c:v>18.00-19.00</c:v>
                </c:pt>
              </c:strCache>
            </c:strRef>
          </c:cat>
          <c:val>
            <c:numRef>
              <c:f>Summary!$AM$10:$AM$21</c:f>
              <c:numCache>
                <c:formatCode>#,##0</c:formatCode>
                <c:ptCount val="12"/>
                <c:pt idx="0">
                  <c:v>1171</c:v>
                </c:pt>
                <c:pt idx="1">
                  <c:v>1238</c:v>
                </c:pt>
                <c:pt idx="2">
                  <c:v>1046</c:v>
                </c:pt>
                <c:pt idx="3">
                  <c:v>1097</c:v>
                </c:pt>
                <c:pt idx="4">
                  <c:v>1146</c:v>
                </c:pt>
                <c:pt idx="5">
                  <c:v>1218</c:v>
                </c:pt>
                <c:pt idx="6">
                  <c:v>1099</c:v>
                </c:pt>
                <c:pt idx="7">
                  <c:v>1146</c:v>
                </c:pt>
                <c:pt idx="8">
                  <c:v>1256</c:v>
                </c:pt>
                <c:pt idx="9">
                  <c:v>1243</c:v>
                </c:pt>
                <c:pt idx="10">
                  <c:v>1311</c:v>
                </c:pt>
                <c:pt idx="11">
                  <c:v>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5-444B-960A-2FD8943AB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2786608"/>
        <c:axId val="65016704"/>
      </c:lineChart>
      <c:catAx>
        <c:axId val="192278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n-US"/>
          </a:p>
        </c:txPr>
        <c:crossAx val="65016704"/>
        <c:crosses val="autoZero"/>
        <c:auto val="1"/>
        <c:lblAlgn val="ctr"/>
        <c:lblOffset val="100"/>
        <c:noMultiLvlLbl val="0"/>
      </c:catAx>
      <c:valAx>
        <c:axId val="6501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en-US" b="1"/>
                  <a:t>ปริมาณจราจร (PCU / ชั่วโมง)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9227866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TH Sarabun New" panose="020B0500040200020003" pitchFamily="34" charset="-34"/>
          <a:ea typeface="TH SarabunPSK"/>
          <a:cs typeface="TH Sarabun New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 b="1"/>
              <a:t>สัดส่วนประเภทยานพาหนะบริเวณจุดสำรวจ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Summary!$AP$39:$BA$39</c:f>
              <c:strCache>
                <c:ptCount val="12"/>
                <c:pt idx="0">
                  <c:v>Bicy</c:v>
                </c:pt>
                <c:pt idx="1">
                  <c:v>MC</c:v>
                </c:pt>
                <c:pt idx="2">
                  <c:v>PC&lt;7</c:v>
                </c:pt>
                <c:pt idx="3">
                  <c:v>PC&gt;7</c:v>
                </c:pt>
                <c:pt idx="4">
                  <c:v>LB</c:v>
                </c:pt>
                <c:pt idx="5">
                  <c:v>MB</c:v>
                </c:pt>
                <c:pt idx="6">
                  <c:v>HB</c:v>
                </c:pt>
                <c:pt idx="7">
                  <c:v>LT</c:v>
                </c:pt>
                <c:pt idx="8">
                  <c:v>MT</c:v>
                </c:pt>
                <c:pt idx="9">
                  <c:v>HT</c:v>
                </c:pt>
                <c:pt idx="10">
                  <c:v>TR</c:v>
                </c:pt>
                <c:pt idx="11">
                  <c:v>STR</c:v>
                </c:pt>
              </c:strCache>
            </c:strRef>
          </c:cat>
          <c:val>
            <c:numRef>
              <c:f>Summary!$AP$40:$BA$40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6-40E8-BC36-4234D57D91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47829471"/>
        <c:axId val="1547837631"/>
      </c:barChart>
      <c:catAx>
        <c:axId val="15478294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1547837631"/>
        <c:crosses val="autoZero"/>
        <c:auto val="1"/>
        <c:lblAlgn val="ctr"/>
        <c:lblOffset val="100"/>
        <c:noMultiLvlLbl val="0"/>
      </c:catAx>
      <c:valAx>
        <c:axId val="154783763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154782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H Sarabun New" panose="020B0500040200020003" pitchFamily="34" charset="-34"/>
          <a:cs typeface="TH Sarabun New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28575</xdr:colOff>
      <xdr:row>555</xdr:row>
      <xdr:rowOff>47625</xdr:rowOff>
    </xdr:from>
    <xdr:to>
      <xdr:col>46</xdr:col>
      <xdr:colOff>28575</xdr:colOff>
      <xdr:row>557</xdr:row>
      <xdr:rowOff>152400</xdr:rowOff>
    </xdr:to>
    <xdr:sp macro="" textlink="">
      <xdr:nvSpPr>
        <xdr:cNvPr id="2" name="Line 117">
          <a:extLst>
            <a:ext uri="{FF2B5EF4-FFF2-40B4-BE49-F238E27FC236}">
              <a16:creationId xmlns:a16="http://schemas.microsoft.com/office/drawing/2014/main" id="{7D0CCFBB-F4AA-40C2-B5EF-1481BB60F093}"/>
            </a:ext>
          </a:extLst>
        </xdr:cNvPr>
        <xdr:cNvSpPr>
          <a:spLocks noChangeShapeType="1"/>
        </xdr:cNvSpPr>
      </xdr:nvSpPr>
      <xdr:spPr bwMode="auto">
        <a:xfrm flipV="1">
          <a:off x="43068875" y="214728425"/>
          <a:ext cx="0" cy="508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47625</xdr:colOff>
      <xdr:row>555</xdr:row>
      <xdr:rowOff>95250</xdr:rowOff>
    </xdr:from>
    <xdr:to>
      <xdr:col>47</xdr:col>
      <xdr:colOff>47625</xdr:colOff>
      <xdr:row>558</xdr:row>
      <xdr:rowOff>9525</xdr:rowOff>
    </xdr:to>
    <xdr:sp macro="" textlink="">
      <xdr:nvSpPr>
        <xdr:cNvPr id="3" name="Line 118">
          <a:extLst>
            <a:ext uri="{FF2B5EF4-FFF2-40B4-BE49-F238E27FC236}">
              <a16:creationId xmlns:a16="http://schemas.microsoft.com/office/drawing/2014/main" id="{B3D21F7C-73EC-484C-96BA-AFD03A210AB5}"/>
            </a:ext>
          </a:extLst>
        </xdr:cNvPr>
        <xdr:cNvSpPr>
          <a:spLocks noChangeShapeType="1"/>
        </xdr:cNvSpPr>
      </xdr:nvSpPr>
      <xdr:spPr bwMode="auto">
        <a:xfrm>
          <a:off x="43726100" y="214779225"/>
          <a:ext cx="0" cy="511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323850</xdr:colOff>
      <xdr:row>556</xdr:row>
      <xdr:rowOff>57150</xdr:rowOff>
    </xdr:from>
    <xdr:to>
      <xdr:col>45</xdr:col>
      <xdr:colOff>323850</xdr:colOff>
      <xdr:row>559</xdr:row>
      <xdr:rowOff>0</xdr:rowOff>
    </xdr:to>
    <xdr:sp macro="" textlink="">
      <xdr:nvSpPr>
        <xdr:cNvPr id="4" name="Line 119">
          <a:extLst>
            <a:ext uri="{FF2B5EF4-FFF2-40B4-BE49-F238E27FC236}">
              <a16:creationId xmlns:a16="http://schemas.microsoft.com/office/drawing/2014/main" id="{2BDBE4EC-1626-4801-9B05-E0F877AA3483}"/>
            </a:ext>
          </a:extLst>
        </xdr:cNvPr>
        <xdr:cNvSpPr>
          <a:spLocks noChangeShapeType="1"/>
        </xdr:cNvSpPr>
      </xdr:nvSpPr>
      <xdr:spPr bwMode="auto">
        <a:xfrm flipV="1">
          <a:off x="42729150" y="214941150"/>
          <a:ext cx="0" cy="542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342900</xdr:colOff>
      <xdr:row>556</xdr:row>
      <xdr:rowOff>104775</xdr:rowOff>
    </xdr:from>
    <xdr:to>
      <xdr:col>46</xdr:col>
      <xdr:colOff>342900</xdr:colOff>
      <xdr:row>559</xdr:row>
      <xdr:rowOff>19050</xdr:rowOff>
    </xdr:to>
    <xdr:sp macro="" textlink="">
      <xdr:nvSpPr>
        <xdr:cNvPr id="5" name="Line 120">
          <a:extLst>
            <a:ext uri="{FF2B5EF4-FFF2-40B4-BE49-F238E27FC236}">
              <a16:creationId xmlns:a16="http://schemas.microsoft.com/office/drawing/2014/main" id="{D05AF6CF-E7DA-4973-9610-9BFA7D627C0B}"/>
            </a:ext>
          </a:extLst>
        </xdr:cNvPr>
        <xdr:cNvSpPr>
          <a:spLocks noChangeShapeType="1"/>
        </xdr:cNvSpPr>
      </xdr:nvSpPr>
      <xdr:spPr bwMode="auto">
        <a:xfrm>
          <a:off x="43386375" y="214985600"/>
          <a:ext cx="0" cy="517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323850</xdr:colOff>
      <xdr:row>553</xdr:row>
      <xdr:rowOff>28575</xdr:rowOff>
    </xdr:from>
    <xdr:to>
      <xdr:col>45</xdr:col>
      <xdr:colOff>323850</xdr:colOff>
      <xdr:row>555</xdr:row>
      <xdr:rowOff>133350</xdr:rowOff>
    </xdr:to>
    <xdr:sp macro="" textlink="">
      <xdr:nvSpPr>
        <xdr:cNvPr id="6" name="Line 121">
          <a:extLst>
            <a:ext uri="{FF2B5EF4-FFF2-40B4-BE49-F238E27FC236}">
              <a16:creationId xmlns:a16="http://schemas.microsoft.com/office/drawing/2014/main" id="{846EAE02-E5DD-4ECE-BF08-A279AAB8E177}"/>
            </a:ext>
          </a:extLst>
        </xdr:cNvPr>
        <xdr:cNvSpPr>
          <a:spLocks noChangeShapeType="1"/>
        </xdr:cNvSpPr>
      </xdr:nvSpPr>
      <xdr:spPr bwMode="auto">
        <a:xfrm flipV="1">
          <a:off x="42729150" y="214309325"/>
          <a:ext cx="0" cy="508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342900</xdr:colOff>
      <xdr:row>553</xdr:row>
      <xdr:rowOff>76200</xdr:rowOff>
    </xdr:from>
    <xdr:to>
      <xdr:col>46</xdr:col>
      <xdr:colOff>342900</xdr:colOff>
      <xdr:row>555</xdr:row>
      <xdr:rowOff>152400</xdr:rowOff>
    </xdr:to>
    <xdr:sp macro="" textlink="">
      <xdr:nvSpPr>
        <xdr:cNvPr id="7" name="Line 122">
          <a:extLst>
            <a:ext uri="{FF2B5EF4-FFF2-40B4-BE49-F238E27FC236}">
              <a16:creationId xmlns:a16="http://schemas.microsoft.com/office/drawing/2014/main" id="{EB2CF0D6-196A-44EC-845D-303AE09522B2}"/>
            </a:ext>
          </a:extLst>
        </xdr:cNvPr>
        <xdr:cNvSpPr>
          <a:spLocks noChangeShapeType="1"/>
        </xdr:cNvSpPr>
      </xdr:nvSpPr>
      <xdr:spPr bwMode="auto">
        <a:xfrm>
          <a:off x="43386375" y="214360125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209550</xdr:colOff>
      <xdr:row>36</xdr:row>
      <xdr:rowOff>152400</xdr:rowOff>
    </xdr:from>
    <xdr:to>
      <xdr:col>20</xdr:col>
      <xdr:colOff>47625</xdr:colOff>
      <xdr:row>60</xdr:row>
      <xdr:rowOff>95250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CB6DFD95-F8AA-4160-BAE0-36D6F1080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57150</xdr:colOff>
      <xdr:row>6</xdr:row>
      <xdr:rowOff>152400</xdr:rowOff>
    </xdr:from>
    <xdr:to>
      <xdr:col>19</xdr:col>
      <xdr:colOff>361950</xdr:colOff>
      <xdr:row>11</xdr:row>
      <xdr:rowOff>57150</xdr:rowOff>
    </xdr:to>
    <xdr:grpSp>
      <xdr:nvGrpSpPr>
        <xdr:cNvPr id="12" name="Group 1">
          <a:extLst>
            <a:ext uri="{FF2B5EF4-FFF2-40B4-BE49-F238E27FC236}">
              <a16:creationId xmlns:a16="http://schemas.microsoft.com/office/drawing/2014/main" id="{7826A1E4-B9F8-4921-88F7-A0CDC2906C17}"/>
            </a:ext>
          </a:extLst>
        </xdr:cNvPr>
        <xdr:cNvGrpSpPr>
          <a:grpSpLocks/>
        </xdr:cNvGrpSpPr>
      </xdr:nvGrpSpPr>
      <xdr:grpSpPr bwMode="auto">
        <a:xfrm>
          <a:off x="7630968" y="1953491"/>
          <a:ext cx="697346" cy="886114"/>
          <a:chOff x="7593874" y="108992292"/>
          <a:chExt cx="780088" cy="760870"/>
        </a:xfrm>
      </xdr:grpSpPr>
      <xdr:sp macro="" textlink="">
        <xdr:nvSpPr>
          <xdr:cNvPr id="13" name="AutoShape 98">
            <a:extLst>
              <a:ext uri="{FF2B5EF4-FFF2-40B4-BE49-F238E27FC236}">
                <a16:creationId xmlns:a16="http://schemas.microsoft.com/office/drawing/2014/main" id="{DEF57EB0-A763-DCA5-C7DC-857D47743390}"/>
              </a:ext>
            </a:extLst>
          </xdr:cNvPr>
          <xdr:cNvSpPr>
            <a:spLocks noChangeArrowheads="1"/>
          </xdr:cNvSpPr>
        </xdr:nvSpPr>
        <xdr:spPr bwMode="auto">
          <a:xfrm>
            <a:off x="7777424" y="109171071"/>
            <a:ext cx="419686" cy="390462"/>
          </a:xfrm>
          <a:custGeom>
            <a:avLst/>
            <a:gdLst>
              <a:gd name="T0" fmla="*/ 2147483646 w 21600"/>
              <a:gd name="T1" fmla="*/ 2147483646 h 21600"/>
              <a:gd name="T2" fmla="*/ 2147483646 w 21600"/>
              <a:gd name="T3" fmla="*/ 2147483646 h 21600"/>
              <a:gd name="T4" fmla="*/ 0 w 21600"/>
              <a:gd name="T5" fmla="*/ 2147483646 h 21600"/>
              <a:gd name="T6" fmla="*/ 2147483646 w 21600"/>
              <a:gd name="T7" fmla="*/ 0 h 21600"/>
              <a:gd name="T8" fmla="*/ 0 60000 65536"/>
              <a:gd name="T9" fmla="*/ 5898240 60000 65536"/>
              <a:gd name="T10" fmla="*/ 11796480 60000 65536"/>
              <a:gd name="T11" fmla="*/ 17694720 60000 65536"/>
              <a:gd name="T12" fmla="*/ 1094 w 21600"/>
              <a:gd name="T13" fmla="*/ 10549 h 21600"/>
              <a:gd name="T14" fmla="*/ 20506 w 21600"/>
              <a:gd name="T15" fmla="*/ 11051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10800" y="0"/>
                </a:moveTo>
                <a:lnTo>
                  <a:pt x="9544" y="5476"/>
                </a:lnTo>
                <a:lnTo>
                  <a:pt x="10549" y="5476"/>
                </a:lnTo>
                <a:lnTo>
                  <a:pt x="10549" y="10549"/>
                </a:lnTo>
                <a:lnTo>
                  <a:pt x="5476" y="10549"/>
                </a:lnTo>
                <a:lnTo>
                  <a:pt x="5476" y="9544"/>
                </a:lnTo>
                <a:lnTo>
                  <a:pt x="0" y="10800"/>
                </a:lnTo>
                <a:lnTo>
                  <a:pt x="5476" y="12056"/>
                </a:lnTo>
                <a:lnTo>
                  <a:pt x="5476" y="11051"/>
                </a:lnTo>
                <a:lnTo>
                  <a:pt x="10549" y="11051"/>
                </a:lnTo>
                <a:lnTo>
                  <a:pt x="10549" y="16124"/>
                </a:lnTo>
                <a:lnTo>
                  <a:pt x="9544" y="16124"/>
                </a:lnTo>
                <a:lnTo>
                  <a:pt x="10800" y="21600"/>
                </a:lnTo>
                <a:lnTo>
                  <a:pt x="12056" y="16124"/>
                </a:lnTo>
                <a:lnTo>
                  <a:pt x="11051" y="16124"/>
                </a:lnTo>
                <a:lnTo>
                  <a:pt x="11051" y="11051"/>
                </a:lnTo>
                <a:lnTo>
                  <a:pt x="16124" y="11051"/>
                </a:lnTo>
                <a:lnTo>
                  <a:pt x="16124" y="12056"/>
                </a:lnTo>
                <a:lnTo>
                  <a:pt x="21600" y="10800"/>
                </a:lnTo>
                <a:lnTo>
                  <a:pt x="16124" y="9544"/>
                </a:lnTo>
                <a:lnTo>
                  <a:pt x="16124" y="10549"/>
                </a:lnTo>
                <a:lnTo>
                  <a:pt x="11051" y="10549"/>
                </a:lnTo>
                <a:lnTo>
                  <a:pt x="11051" y="5476"/>
                </a:lnTo>
                <a:lnTo>
                  <a:pt x="12056" y="5476"/>
                </a:lnTo>
                <a:lnTo>
                  <a:pt x="10800" y="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73CD3C3D-A374-9B95-4523-BB03E0E54EB5}"/>
              </a:ext>
            </a:extLst>
          </xdr:cNvPr>
          <xdr:cNvSpPr txBox="1"/>
        </xdr:nvSpPr>
        <xdr:spPr>
          <a:xfrm>
            <a:off x="7875572" y="108992292"/>
            <a:ext cx="216691" cy="2198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n-US" sz="1100">
                <a:latin typeface="Browallia New" panose="020B0604020202020204" pitchFamily="34" charset="-34"/>
                <a:cs typeface="Browallia New" panose="020B0604020202020204" pitchFamily="34" charset="-34"/>
              </a:rPr>
              <a:t>N</a:t>
            </a:r>
            <a:endParaRPr lang="th-TH" sz="1100">
              <a:latin typeface="Browallia New" panose="020B0604020202020204" pitchFamily="34" charset="-34"/>
              <a:cs typeface="Browallia New" panose="020B0604020202020204" pitchFamily="34" charset="-34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8F1EE5F-9353-8209-3900-295E3CF48779}"/>
              </a:ext>
            </a:extLst>
          </xdr:cNvPr>
          <xdr:cNvSpPr txBox="1"/>
        </xdr:nvSpPr>
        <xdr:spPr>
          <a:xfrm>
            <a:off x="8157271" y="109245915"/>
            <a:ext cx="216691" cy="22826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n-US" sz="1100">
                <a:latin typeface="Browallia New" panose="020B0604020202020204" pitchFamily="34" charset="-34"/>
                <a:cs typeface="Browallia New" panose="020B0604020202020204" pitchFamily="34" charset="-34"/>
              </a:rPr>
              <a:t>E</a:t>
            </a:r>
            <a:endParaRPr lang="th-TH" sz="1100">
              <a:latin typeface="Browallia New" panose="020B0604020202020204" pitchFamily="34" charset="-34"/>
              <a:cs typeface="Browallia New" panose="020B0604020202020204" pitchFamily="34" charset="-34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BF5E5DB-3A4C-7F7D-110D-135D0EAF75EC}"/>
              </a:ext>
            </a:extLst>
          </xdr:cNvPr>
          <xdr:cNvSpPr txBox="1"/>
        </xdr:nvSpPr>
        <xdr:spPr>
          <a:xfrm>
            <a:off x="7875572" y="109533355"/>
            <a:ext cx="216691" cy="2198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n-US" sz="1100">
                <a:latin typeface="Browallia New" panose="020B0604020202020204" pitchFamily="34" charset="-34"/>
                <a:cs typeface="Browallia New" panose="020B0604020202020204" pitchFamily="34" charset="-34"/>
              </a:rPr>
              <a:t>S</a:t>
            </a:r>
            <a:endParaRPr lang="th-TH" sz="1100">
              <a:latin typeface="Browallia New" panose="020B0604020202020204" pitchFamily="34" charset="-34"/>
              <a:cs typeface="Browallia New" panose="020B0604020202020204" pitchFamily="34" charset="-34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AFC6D6D3-E72C-F63E-9F79-A2538EFE53D9}"/>
              </a:ext>
            </a:extLst>
          </xdr:cNvPr>
          <xdr:cNvSpPr txBox="1"/>
        </xdr:nvSpPr>
        <xdr:spPr>
          <a:xfrm>
            <a:off x="7593874" y="109254369"/>
            <a:ext cx="216691" cy="2198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n-US" sz="1100">
                <a:latin typeface="Browallia New" panose="020B0604020202020204" pitchFamily="34" charset="-34"/>
                <a:cs typeface="Browallia New" panose="020B0604020202020204" pitchFamily="34" charset="-34"/>
              </a:rPr>
              <a:t>W</a:t>
            </a:r>
            <a:endParaRPr lang="th-TH" sz="1100">
              <a:latin typeface="Browallia New" panose="020B0604020202020204" pitchFamily="34" charset="-34"/>
              <a:cs typeface="Browallia New" panose="020B0604020202020204" pitchFamily="34" charset="-34"/>
            </a:endParaRPr>
          </a:p>
        </xdr:txBody>
      </xdr:sp>
    </xdr:grpSp>
    <xdr:clientData/>
  </xdr:twoCellAnchor>
  <xdr:twoCellAnchor>
    <xdr:from>
      <xdr:col>13</xdr:col>
      <xdr:colOff>85725</xdr:colOff>
      <xdr:row>22</xdr:row>
      <xdr:rowOff>104775</xdr:rowOff>
    </xdr:from>
    <xdr:to>
      <xdr:col>13</xdr:col>
      <xdr:colOff>352425</xdr:colOff>
      <xdr:row>22</xdr:row>
      <xdr:rowOff>104775</xdr:rowOff>
    </xdr:to>
    <xdr:sp macro="" textlink="">
      <xdr:nvSpPr>
        <xdr:cNvPr id="89" name="Line 40">
          <a:extLst>
            <a:ext uri="{FF2B5EF4-FFF2-40B4-BE49-F238E27FC236}">
              <a16:creationId xmlns:a16="http://schemas.microsoft.com/office/drawing/2014/main" id="{0759358D-DA4E-4BC0-A720-4F368098E02A}"/>
            </a:ext>
          </a:extLst>
        </xdr:cNvPr>
        <xdr:cNvSpPr>
          <a:spLocks noChangeShapeType="1"/>
        </xdr:cNvSpPr>
      </xdr:nvSpPr>
      <xdr:spPr bwMode="auto">
        <a:xfrm flipH="1" flipV="1">
          <a:off x="5683250" y="111906050"/>
          <a:ext cx="266700" cy="0"/>
        </a:xfrm>
        <a:prstGeom prst="line">
          <a:avLst/>
        </a:prstGeom>
        <a:noFill/>
        <a:ln w="28575">
          <a:solidFill>
            <a:srgbClr val="FF0000"/>
          </a:solidFill>
          <a:round/>
          <a:headEnd/>
          <a:tailEnd type="triangle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95250</xdr:rowOff>
    </xdr:from>
    <xdr:to>
      <xdr:col>7</xdr:col>
      <xdr:colOff>333375</xdr:colOff>
      <xdr:row>19</xdr:row>
      <xdr:rowOff>95250</xdr:rowOff>
    </xdr:to>
    <xdr:sp macro="" textlink="">
      <xdr:nvSpPr>
        <xdr:cNvPr id="90" name="Line 44">
          <a:extLst>
            <a:ext uri="{FF2B5EF4-FFF2-40B4-BE49-F238E27FC236}">
              <a16:creationId xmlns:a16="http://schemas.microsoft.com/office/drawing/2014/main" id="{293D010A-243A-4E3D-A9FC-EF9978D904C1}"/>
            </a:ext>
          </a:extLst>
        </xdr:cNvPr>
        <xdr:cNvSpPr>
          <a:spLocks noChangeShapeType="1"/>
        </xdr:cNvSpPr>
      </xdr:nvSpPr>
      <xdr:spPr bwMode="auto">
        <a:xfrm rot="10800000" flipH="1">
          <a:off x="3257550" y="111328200"/>
          <a:ext cx="330200" cy="0"/>
        </a:xfrm>
        <a:prstGeom prst="line">
          <a:avLst/>
        </a:prstGeom>
        <a:noFill/>
        <a:ln w="28575">
          <a:solidFill>
            <a:srgbClr val="FF0000"/>
          </a:solidFill>
          <a:round/>
          <a:headEnd/>
          <a:tailEnd type="triangle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104775</xdr:colOff>
      <xdr:row>24</xdr:row>
      <xdr:rowOff>85725</xdr:rowOff>
    </xdr:from>
    <xdr:to>
      <xdr:col>19</xdr:col>
      <xdr:colOff>38100</xdr:colOff>
      <xdr:row>32</xdr:row>
      <xdr:rowOff>76200</xdr:rowOff>
    </xdr:to>
    <xdr:sp macro="" textlink="">
      <xdr:nvSpPr>
        <xdr:cNvPr id="91" name="Freeform 95">
          <a:extLst>
            <a:ext uri="{FF2B5EF4-FFF2-40B4-BE49-F238E27FC236}">
              <a16:creationId xmlns:a16="http://schemas.microsoft.com/office/drawing/2014/main" id="{9C600209-D5B4-4967-A852-833418CB1F18}"/>
            </a:ext>
          </a:extLst>
        </xdr:cNvPr>
        <xdr:cNvSpPr>
          <a:spLocks/>
        </xdr:cNvSpPr>
      </xdr:nvSpPr>
      <xdr:spPr bwMode="auto">
        <a:xfrm rot="10800000">
          <a:off x="5702300" y="112268000"/>
          <a:ext cx="2279650" cy="1517650"/>
        </a:xfrm>
        <a:custGeom>
          <a:avLst/>
          <a:gdLst>
            <a:gd name="T0" fmla="*/ 0 w 202"/>
            <a:gd name="T1" fmla="*/ 2147483646 h 90"/>
            <a:gd name="T2" fmla="*/ 2147483646 w 202"/>
            <a:gd name="T3" fmla="*/ 2147483646 h 90"/>
            <a:gd name="T4" fmla="*/ 2147483646 w 202"/>
            <a:gd name="T5" fmla="*/ 0 h 90"/>
            <a:gd name="T6" fmla="*/ 0 60000 65536"/>
            <a:gd name="T7" fmla="*/ 0 60000 65536"/>
            <a:gd name="T8" fmla="*/ 0 60000 65536"/>
            <a:gd name="T9" fmla="*/ 0 w 202"/>
            <a:gd name="T10" fmla="*/ 0 h 90"/>
            <a:gd name="T11" fmla="*/ 202 w 202"/>
            <a:gd name="T12" fmla="*/ 90 h 9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02" h="90">
              <a:moveTo>
                <a:pt x="0" y="90"/>
              </a:moveTo>
              <a:lnTo>
                <a:pt x="202" y="89"/>
              </a:lnTo>
              <a:lnTo>
                <a:pt x="202" y="0"/>
              </a:lnTo>
            </a:path>
          </a:pathLst>
        </a:cu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352425</xdr:colOff>
      <xdr:row>24</xdr:row>
      <xdr:rowOff>85725</xdr:rowOff>
    </xdr:from>
    <xdr:to>
      <xdr:col>8</xdr:col>
      <xdr:colOff>257175</xdr:colOff>
      <xdr:row>32</xdr:row>
      <xdr:rowOff>85725</xdr:rowOff>
    </xdr:to>
    <xdr:sp macro="" textlink="">
      <xdr:nvSpPr>
        <xdr:cNvPr id="92" name="Freeform 96">
          <a:extLst>
            <a:ext uri="{FF2B5EF4-FFF2-40B4-BE49-F238E27FC236}">
              <a16:creationId xmlns:a16="http://schemas.microsoft.com/office/drawing/2014/main" id="{EDA57920-B803-4FC9-B464-40D9B0E2C1C7}"/>
            </a:ext>
          </a:extLst>
        </xdr:cNvPr>
        <xdr:cNvSpPr>
          <a:spLocks/>
        </xdr:cNvSpPr>
      </xdr:nvSpPr>
      <xdr:spPr bwMode="auto">
        <a:xfrm rot="10800000">
          <a:off x="1616075" y="112268000"/>
          <a:ext cx="2286000" cy="1524000"/>
        </a:xfrm>
        <a:custGeom>
          <a:avLst/>
          <a:gdLst>
            <a:gd name="T0" fmla="*/ 2147483646 w 207"/>
            <a:gd name="T1" fmla="*/ 2147483646 h 86"/>
            <a:gd name="T2" fmla="*/ 0 w 207"/>
            <a:gd name="T3" fmla="*/ 2147483646 h 86"/>
            <a:gd name="T4" fmla="*/ 0 w 207"/>
            <a:gd name="T5" fmla="*/ 0 h 86"/>
            <a:gd name="T6" fmla="*/ 0 60000 65536"/>
            <a:gd name="T7" fmla="*/ 0 60000 65536"/>
            <a:gd name="T8" fmla="*/ 0 60000 65536"/>
            <a:gd name="T9" fmla="*/ 0 w 207"/>
            <a:gd name="T10" fmla="*/ 0 h 86"/>
            <a:gd name="T11" fmla="*/ 207 w 207"/>
            <a:gd name="T12" fmla="*/ 86 h 8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07" h="86">
              <a:moveTo>
                <a:pt x="207" y="86"/>
              </a:moveTo>
              <a:lnTo>
                <a:pt x="0" y="86"/>
              </a:lnTo>
              <a:lnTo>
                <a:pt x="0" y="0"/>
              </a:lnTo>
            </a:path>
          </a:pathLst>
        </a:cu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152400</xdr:colOff>
      <xdr:row>23</xdr:row>
      <xdr:rowOff>95250</xdr:rowOff>
    </xdr:from>
    <xdr:to>
      <xdr:col>13</xdr:col>
      <xdr:colOff>361950</xdr:colOff>
      <xdr:row>24</xdr:row>
      <xdr:rowOff>47625</xdr:rowOff>
    </xdr:to>
    <xdr:sp macro="" textlink="">
      <xdr:nvSpPr>
        <xdr:cNvPr id="93" name="Freeform 100">
          <a:extLst>
            <a:ext uri="{FF2B5EF4-FFF2-40B4-BE49-F238E27FC236}">
              <a16:creationId xmlns:a16="http://schemas.microsoft.com/office/drawing/2014/main" id="{6283E6C1-70E9-48AA-9F4F-7456C2B2F491}"/>
            </a:ext>
          </a:extLst>
        </xdr:cNvPr>
        <xdr:cNvSpPr>
          <a:spLocks/>
        </xdr:cNvSpPr>
      </xdr:nvSpPr>
      <xdr:spPr bwMode="auto">
        <a:xfrm rot="10800000">
          <a:off x="5753100" y="112090200"/>
          <a:ext cx="209550" cy="139700"/>
        </a:xfrm>
        <a:custGeom>
          <a:avLst/>
          <a:gdLst>
            <a:gd name="T0" fmla="*/ 0 w 47"/>
            <a:gd name="T1" fmla="*/ 2147483646 h 14"/>
            <a:gd name="T2" fmla="*/ 2147483646 w 47"/>
            <a:gd name="T3" fmla="*/ 2147483646 h 14"/>
            <a:gd name="T4" fmla="*/ 2147483646 w 47"/>
            <a:gd name="T5" fmla="*/ 0 h 14"/>
            <a:gd name="T6" fmla="*/ 0 60000 65536"/>
            <a:gd name="T7" fmla="*/ 0 60000 65536"/>
            <a:gd name="T8" fmla="*/ 0 60000 65536"/>
            <a:gd name="T9" fmla="*/ 0 w 47"/>
            <a:gd name="T10" fmla="*/ 0 h 14"/>
            <a:gd name="T11" fmla="*/ 47 w 47"/>
            <a:gd name="T12" fmla="*/ 14 h 1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47" h="14">
              <a:moveTo>
                <a:pt x="0" y="14"/>
              </a:moveTo>
              <a:lnTo>
                <a:pt x="47" y="14"/>
              </a:lnTo>
              <a:lnTo>
                <a:pt x="47" y="0"/>
              </a:ln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95250</xdr:rowOff>
    </xdr:from>
    <xdr:to>
      <xdr:col>7</xdr:col>
      <xdr:colOff>238125</xdr:colOff>
      <xdr:row>21</xdr:row>
      <xdr:rowOff>38100</xdr:rowOff>
    </xdr:to>
    <xdr:sp macro="" textlink="">
      <xdr:nvSpPr>
        <xdr:cNvPr id="94" name="Freeform 101">
          <a:extLst>
            <a:ext uri="{FF2B5EF4-FFF2-40B4-BE49-F238E27FC236}">
              <a16:creationId xmlns:a16="http://schemas.microsoft.com/office/drawing/2014/main" id="{15CF070E-6063-43CE-812F-FDAE1A81E878}"/>
            </a:ext>
          </a:extLst>
        </xdr:cNvPr>
        <xdr:cNvSpPr>
          <a:spLocks/>
        </xdr:cNvSpPr>
      </xdr:nvSpPr>
      <xdr:spPr bwMode="auto">
        <a:xfrm flipV="1">
          <a:off x="3257550" y="111518700"/>
          <a:ext cx="234950" cy="133350"/>
        </a:xfrm>
        <a:custGeom>
          <a:avLst/>
          <a:gdLst>
            <a:gd name="T0" fmla="*/ 0 w 47"/>
            <a:gd name="T1" fmla="*/ 2147483646 h 14"/>
            <a:gd name="T2" fmla="*/ 2147483646 w 47"/>
            <a:gd name="T3" fmla="*/ 2147483646 h 14"/>
            <a:gd name="T4" fmla="*/ 2147483646 w 47"/>
            <a:gd name="T5" fmla="*/ 0 h 14"/>
            <a:gd name="T6" fmla="*/ 0 60000 65536"/>
            <a:gd name="T7" fmla="*/ 0 60000 65536"/>
            <a:gd name="T8" fmla="*/ 0 60000 65536"/>
            <a:gd name="T9" fmla="*/ 0 w 47"/>
            <a:gd name="T10" fmla="*/ 0 h 14"/>
            <a:gd name="T11" fmla="*/ 47 w 47"/>
            <a:gd name="T12" fmla="*/ 14 h 1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47" h="14">
              <a:moveTo>
                <a:pt x="0" y="14"/>
              </a:moveTo>
              <a:lnTo>
                <a:pt x="47" y="14"/>
              </a:lnTo>
              <a:lnTo>
                <a:pt x="47" y="0"/>
              </a:ln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66675</xdr:colOff>
      <xdr:row>24</xdr:row>
      <xdr:rowOff>152400</xdr:rowOff>
    </xdr:from>
    <xdr:to>
      <xdr:col>9</xdr:col>
      <xdr:colOff>200025</xdr:colOff>
      <xdr:row>25</xdr:row>
      <xdr:rowOff>171450</xdr:rowOff>
    </xdr:to>
    <xdr:sp macro="" textlink="">
      <xdr:nvSpPr>
        <xdr:cNvPr id="95" name="Freeform 100">
          <a:extLst>
            <a:ext uri="{FF2B5EF4-FFF2-40B4-BE49-F238E27FC236}">
              <a16:creationId xmlns:a16="http://schemas.microsoft.com/office/drawing/2014/main" id="{4825CCF3-8646-44E5-A696-D11A5FE29EF2}"/>
            </a:ext>
          </a:extLst>
        </xdr:cNvPr>
        <xdr:cNvSpPr>
          <a:spLocks/>
        </xdr:cNvSpPr>
      </xdr:nvSpPr>
      <xdr:spPr bwMode="auto">
        <a:xfrm rot="-5400000">
          <a:off x="4064000" y="112375950"/>
          <a:ext cx="209550" cy="133350"/>
        </a:xfrm>
        <a:custGeom>
          <a:avLst/>
          <a:gdLst>
            <a:gd name="T0" fmla="*/ 0 w 47"/>
            <a:gd name="T1" fmla="*/ 2147483646 h 14"/>
            <a:gd name="T2" fmla="*/ 2147483646 w 47"/>
            <a:gd name="T3" fmla="*/ 2147483646 h 14"/>
            <a:gd name="T4" fmla="*/ 2147483646 w 47"/>
            <a:gd name="T5" fmla="*/ 0 h 14"/>
            <a:gd name="T6" fmla="*/ 0 60000 65536"/>
            <a:gd name="T7" fmla="*/ 0 60000 65536"/>
            <a:gd name="T8" fmla="*/ 0 60000 65536"/>
            <a:gd name="T9" fmla="*/ 0 w 47"/>
            <a:gd name="T10" fmla="*/ 0 h 14"/>
            <a:gd name="T11" fmla="*/ 47 w 47"/>
            <a:gd name="T12" fmla="*/ 14 h 1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47" h="14">
              <a:moveTo>
                <a:pt x="0" y="14"/>
              </a:moveTo>
              <a:lnTo>
                <a:pt x="47" y="14"/>
              </a:lnTo>
              <a:lnTo>
                <a:pt x="47" y="0"/>
              </a:ln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200025</xdr:colOff>
      <xdr:row>24</xdr:row>
      <xdr:rowOff>152400</xdr:rowOff>
    </xdr:from>
    <xdr:to>
      <xdr:col>11</xdr:col>
      <xdr:colOff>333375</xdr:colOff>
      <xdr:row>25</xdr:row>
      <xdr:rowOff>171450</xdr:rowOff>
    </xdr:to>
    <xdr:sp macro="" textlink="">
      <xdr:nvSpPr>
        <xdr:cNvPr id="96" name="Freeform 101">
          <a:extLst>
            <a:ext uri="{FF2B5EF4-FFF2-40B4-BE49-F238E27FC236}">
              <a16:creationId xmlns:a16="http://schemas.microsoft.com/office/drawing/2014/main" id="{5A9FCE6C-AAD2-4B32-8FD3-EE0CE5634ED9}"/>
            </a:ext>
          </a:extLst>
        </xdr:cNvPr>
        <xdr:cNvSpPr>
          <a:spLocks/>
        </xdr:cNvSpPr>
      </xdr:nvSpPr>
      <xdr:spPr bwMode="auto">
        <a:xfrm rot="16200000" flipV="1">
          <a:off x="4978400" y="112375950"/>
          <a:ext cx="209550" cy="133350"/>
        </a:xfrm>
        <a:custGeom>
          <a:avLst/>
          <a:gdLst>
            <a:gd name="T0" fmla="*/ 0 w 47"/>
            <a:gd name="T1" fmla="*/ 2147483646 h 14"/>
            <a:gd name="T2" fmla="*/ 2147483646 w 47"/>
            <a:gd name="T3" fmla="*/ 2147483646 h 14"/>
            <a:gd name="T4" fmla="*/ 2147483646 w 47"/>
            <a:gd name="T5" fmla="*/ 0 h 14"/>
            <a:gd name="T6" fmla="*/ 0 60000 65536"/>
            <a:gd name="T7" fmla="*/ 0 60000 65536"/>
            <a:gd name="T8" fmla="*/ 0 60000 65536"/>
            <a:gd name="T9" fmla="*/ 0 w 47"/>
            <a:gd name="T10" fmla="*/ 0 h 14"/>
            <a:gd name="T11" fmla="*/ 47 w 47"/>
            <a:gd name="T12" fmla="*/ 14 h 1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47" h="14">
              <a:moveTo>
                <a:pt x="0" y="14"/>
              </a:moveTo>
              <a:lnTo>
                <a:pt x="47" y="14"/>
              </a:lnTo>
              <a:lnTo>
                <a:pt x="47" y="0"/>
              </a:ln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104775</xdr:colOff>
      <xdr:row>9</xdr:row>
      <xdr:rowOff>19050</xdr:rowOff>
    </xdr:from>
    <xdr:to>
      <xdr:col>19</xdr:col>
      <xdr:colOff>38100</xdr:colOff>
      <xdr:row>17</xdr:row>
      <xdr:rowOff>104775</xdr:rowOff>
    </xdr:to>
    <xdr:sp macro="" textlink="">
      <xdr:nvSpPr>
        <xdr:cNvPr id="97" name="Freeform 96">
          <a:extLst>
            <a:ext uri="{FF2B5EF4-FFF2-40B4-BE49-F238E27FC236}">
              <a16:creationId xmlns:a16="http://schemas.microsoft.com/office/drawing/2014/main" id="{9382A3DD-EB88-4D7A-976E-DBC3129869DE}"/>
            </a:ext>
          </a:extLst>
        </xdr:cNvPr>
        <xdr:cNvSpPr>
          <a:spLocks/>
        </xdr:cNvSpPr>
      </xdr:nvSpPr>
      <xdr:spPr bwMode="auto">
        <a:xfrm>
          <a:off x="5702300" y="109347000"/>
          <a:ext cx="2279650" cy="1606550"/>
        </a:xfrm>
        <a:custGeom>
          <a:avLst/>
          <a:gdLst>
            <a:gd name="T0" fmla="*/ 2147483646 w 207"/>
            <a:gd name="T1" fmla="*/ 2147483646 h 86"/>
            <a:gd name="T2" fmla="*/ 0 w 207"/>
            <a:gd name="T3" fmla="*/ 2147483646 h 86"/>
            <a:gd name="T4" fmla="*/ 0 w 207"/>
            <a:gd name="T5" fmla="*/ 0 h 86"/>
            <a:gd name="T6" fmla="*/ 0 60000 65536"/>
            <a:gd name="T7" fmla="*/ 0 60000 65536"/>
            <a:gd name="T8" fmla="*/ 0 60000 65536"/>
            <a:gd name="T9" fmla="*/ 0 w 207"/>
            <a:gd name="T10" fmla="*/ 0 h 86"/>
            <a:gd name="T11" fmla="*/ 207 w 207"/>
            <a:gd name="T12" fmla="*/ 86 h 8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07" h="86">
              <a:moveTo>
                <a:pt x="207" y="86"/>
              </a:moveTo>
              <a:lnTo>
                <a:pt x="0" y="86"/>
              </a:lnTo>
              <a:lnTo>
                <a:pt x="0" y="0"/>
              </a:lnTo>
            </a:path>
          </a:pathLst>
        </a:cu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238125</xdr:colOff>
      <xdr:row>8</xdr:row>
      <xdr:rowOff>180975</xdr:rowOff>
    </xdr:from>
    <xdr:to>
      <xdr:col>8</xdr:col>
      <xdr:colOff>247650</xdr:colOff>
      <xdr:row>17</xdr:row>
      <xdr:rowOff>104775</xdr:rowOff>
    </xdr:to>
    <xdr:sp macro="" textlink="">
      <xdr:nvSpPr>
        <xdr:cNvPr id="98" name="Freeform 95">
          <a:extLst>
            <a:ext uri="{FF2B5EF4-FFF2-40B4-BE49-F238E27FC236}">
              <a16:creationId xmlns:a16="http://schemas.microsoft.com/office/drawing/2014/main" id="{B3C10BBD-D5C6-4FEF-8B9E-C2BF740EAEB5}"/>
            </a:ext>
          </a:extLst>
        </xdr:cNvPr>
        <xdr:cNvSpPr>
          <a:spLocks/>
        </xdr:cNvSpPr>
      </xdr:nvSpPr>
      <xdr:spPr bwMode="auto">
        <a:xfrm>
          <a:off x="1501775" y="109315250"/>
          <a:ext cx="2393950" cy="1638300"/>
        </a:xfrm>
        <a:custGeom>
          <a:avLst/>
          <a:gdLst>
            <a:gd name="T0" fmla="*/ 0 w 202"/>
            <a:gd name="T1" fmla="*/ 2147483646 h 90"/>
            <a:gd name="T2" fmla="*/ 2147483646 w 202"/>
            <a:gd name="T3" fmla="*/ 2147483646 h 90"/>
            <a:gd name="T4" fmla="*/ 2147483646 w 202"/>
            <a:gd name="T5" fmla="*/ 0 h 90"/>
            <a:gd name="T6" fmla="*/ 0 60000 65536"/>
            <a:gd name="T7" fmla="*/ 0 60000 65536"/>
            <a:gd name="T8" fmla="*/ 0 60000 65536"/>
            <a:gd name="T9" fmla="*/ 0 w 202"/>
            <a:gd name="T10" fmla="*/ 0 h 90"/>
            <a:gd name="T11" fmla="*/ 202 w 202"/>
            <a:gd name="T12" fmla="*/ 90 h 9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02" h="90">
              <a:moveTo>
                <a:pt x="0" y="90"/>
              </a:moveTo>
              <a:lnTo>
                <a:pt x="202" y="89"/>
              </a:lnTo>
              <a:lnTo>
                <a:pt x="202" y="0"/>
              </a:lnTo>
            </a:path>
          </a:pathLst>
        </a:cu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196674</xdr:colOff>
      <xdr:row>24</xdr:row>
      <xdr:rowOff>96630</xdr:rowOff>
    </xdr:from>
    <xdr:to>
      <xdr:col>10</xdr:col>
      <xdr:colOff>198120</xdr:colOff>
      <xdr:row>25</xdr:row>
      <xdr:rowOff>165438</xdr:rowOff>
    </xdr:to>
    <xdr:cxnSp macro="">
      <xdr:nvCxnSpPr>
        <xdr:cNvPr id="99" name="Straight Arrow Connector 32">
          <a:extLst>
            <a:ext uri="{FF2B5EF4-FFF2-40B4-BE49-F238E27FC236}">
              <a16:creationId xmlns:a16="http://schemas.microsoft.com/office/drawing/2014/main" id="{DE7E19C8-CE81-4049-A3FC-B2C6201AE158}"/>
            </a:ext>
          </a:extLst>
        </xdr:cNvPr>
        <xdr:cNvCxnSpPr/>
      </xdr:nvCxnSpPr>
      <xdr:spPr>
        <a:xfrm flipV="1">
          <a:off x="4628974" y="112282080"/>
          <a:ext cx="1446" cy="256133"/>
        </a:xfrm>
        <a:prstGeom prst="straightConnector1">
          <a:avLst/>
        </a:prstGeom>
        <a:ln w="28575">
          <a:solidFill>
            <a:srgbClr val="FF0000"/>
          </a:solidFill>
          <a:tailEnd type="triangle" w="med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208215</xdr:colOff>
      <xdr:row>16</xdr:row>
      <xdr:rowOff>365</xdr:rowOff>
    </xdr:from>
    <xdr:to>
      <xdr:col>11</xdr:col>
      <xdr:colOff>208215</xdr:colOff>
      <xdr:row>17</xdr:row>
      <xdr:rowOff>51661</xdr:rowOff>
    </xdr:to>
    <xdr:cxnSp macro="">
      <xdr:nvCxnSpPr>
        <xdr:cNvPr id="100" name="Straight Arrow Connector 33">
          <a:extLst>
            <a:ext uri="{FF2B5EF4-FFF2-40B4-BE49-F238E27FC236}">
              <a16:creationId xmlns:a16="http://schemas.microsoft.com/office/drawing/2014/main" id="{8D2D73BE-62B0-46C2-B1C8-61321A402163}"/>
            </a:ext>
          </a:extLst>
        </xdr:cNvPr>
        <xdr:cNvCxnSpPr/>
      </xdr:nvCxnSpPr>
      <xdr:spPr>
        <a:xfrm>
          <a:off x="5027865" y="110661815"/>
          <a:ext cx="0" cy="238621"/>
        </a:xfrm>
        <a:prstGeom prst="straightConnector1">
          <a:avLst/>
        </a:prstGeom>
        <a:ln w="28575">
          <a:solidFill>
            <a:srgbClr val="FF0000"/>
          </a:solidFill>
          <a:tailEnd type="triangle" w="med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</xdr:colOff>
      <xdr:row>16</xdr:row>
      <xdr:rowOff>0</xdr:rowOff>
    </xdr:from>
    <xdr:to>
      <xdr:col>10</xdr:col>
      <xdr:colOff>180975</xdr:colOff>
      <xdr:row>16</xdr:row>
      <xdr:rowOff>180975</xdr:rowOff>
    </xdr:to>
    <xdr:sp macro="" textlink="">
      <xdr:nvSpPr>
        <xdr:cNvPr id="101" name="Freeform 101">
          <a:extLst>
            <a:ext uri="{FF2B5EF4-FFF2-40B4-BE49-F238E27FC236}">
              <a16:creationId xmlns:a16="http://schemas.microsoft.com/office/drawing/2014/main" id="{17E3B8B5-5BDF-4AEA-B42F-3D08EB5ED7A7}"/>
            </a:ext>
          </a:extLst>
        </xdr:cNvPr>
        <xdr:cNvSpPr>
          <a:spLocks/>
        </xdr:cNvSpPr>
      </xdr:nvSpPr>
      <xdr:spPr bwMode="auto">
        <a:xfrm rot="5400000" flipV="1">
          <a:off x="4451350" y="110683675"/>
          <a:ext cx="177800" cy="133350"/>
        </a:xfrm>
        <a:custGeom>
          <a:avLst/>
          <a:gdLst>
            <a:gd name="T0" fmla="*/ 0 w 47"/>
            <a:gd name="T1" fmla="*/ 2147483646 h 14"/>
            <a:gd name="T2" fmla="*/ 2147483646 w 47"/>
            <a:gd name="T3" fmla="*/ 2147483646 h 14"/>
            <a:gd name="T4" fmla="*/ 2147483646 w 47"/>
            <a:gd name="T5" fmla="*/ 0 h 14"/>
            <a:gd name="T6" fmla="*/ 0 60000 65536"/>
            <a:gd name="T7" fmla="*/ 0 60000 65536"/>
            <a:gd name="T8" fmla="*/ 0 60000 65536"/>
            <a:gd name="T9" fmla="*/ 0 w 47"/>
            <a:gd name="T10" fmla="*/ 0 h 14"/>
            <a:gd name="T11" fmla="*/ 47 w 47"/>
            <a:gd name="T12" fmla="*/ 14 h 1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47" h="14">
              <a:moveTo>
                <a:pt x="0" y="14"/>
              </a:moveTo>
              <a:lnTo>
                <a:pt x="47" y="14"/>
              </a:lnTo>
              <a:lnTo>
                <a:pt x="47" y="0"/>
              </a:ln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180975</xdr:colOff>
      <xdr:row>16</xdr:row>
      <xdr:rowOff>0</xdr:rowOff>
    </xdr:from>
    <xdr:to>
      <xdr:col>12</xdr:col>
      <xdr:colOff>314325</xdr:colOff>
      <xdr:row>16</xdr:row>
      <xdr:rowOff>180975</xdr:rowOff>
    </xdr:to>
    <xdr:sp macro="" textlink="">
      <xdr:nvSpPr>
        <xdr:cNvPr id="102" name="Freeform 100">
          <a:extLst>
            <a:ext uri="{FF2B5EF4-FFF2-40B4-BE49-F238E27FC236}">
              <a16:creationId xmlns:a16="http://schemas.microsoft.com/office/drawing/2014/main" id="{3DA6058E-ACD2-4D6D-B765-57F610D91EED}"/>
            </a:ext>
          </a:extLst>
        </xdr:cNvPr>
        <xdr:cNvSpPr>
          <a:spLocks/>
        </xdr:cNvSpPr>
      </xdr:nvSpPr>
      <xdr:spPr bwMode="auto">
        <a:xfrm rot="5400000">
          <a:off x="5365750" y="110683675"/>
          <a:ext cx="177800" cy="133350"/>
        </a:xfrm>
        <a:custGeom>
          <a:avLst/>
          <a:gdLst>
            <a:gd name="T0" fmla="*/ 0 w 47"/>
            <a:gd name="T1" fmla="*/ 2147483646 h 14"/>
            <a:gd name="T2" fmla="*/ 2147483646 w 47"/>
            <a:gd name="T3" fmla="*/ 2147483646 h 14"/>
            <a:gd name="T4" fmla="*/ 2147483646 w 47"/>
            <a:gd name="T5" fmla="*/ 0 h 14"/>
            <a:gd name="T6" fmla="*/ 0 60000 65536"/>
            <a:gd name="T7" fmla="*/ 0 60000 65536"/>
            <a:gd name="T8" fmla="*/ 0 60000 65536"/>
            <a:gd name="T9" fmla="*/ 0 w 47"/>
            <a:gd name="T10" fmla="*/ 0 h 14"/>
            <a:gd name="T11" fmla="*/ 47 w 47"/>
            <a:gd name="T12" fmla="*/ 14 h 1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47" h="14">
              <a:moveTo>
                <a:pt x="0" y="14"/>
              </a:moveTo>
              <a:lnTo>
                <a:pt x="47" y="14"/>
              </a:lnTo>
              <a:lnTo>
                <a:pt x="47" y="0"/>
              </a:ln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152400</xdr:colOff>
      <xdr:row>20</xdr:row>
      <xdr:rowOff>152400</xdr:rowOff>
    </xdr:from>
    <xdr:to>
      <xdr:col>13</xdr:col>
      <xdr:colOff>361950</xdr:colOff>
      <xdr:row>21</xdr:row>
      <xdr:rowOff>95250</xdr:rowOff>
    </xdr:to>
    <xdr:sp macro="" textlink="">
      <xdr:nvSpPr>
        <xdr:cNvPr id="103" name="Freeform 101">
          <a:extLst>
            <a:ext uri="{FF2B5EF4-FFF2-40B4-BE49-F238E27FC236}">
              <a16:creationId xmlns:a16="http://schemas.microsoft.com/office/drawing/2014/main" id="{38E6A46E-A9D7-4389-97FE-C08F832938EB}"/>
            </a:ext>
          </a:extLst>
        </xdr:cNvPr>
        <xdr:cNvSpPr>
          <a:spLocks/>
        </xdr:cNvSpPr>
      </xdr:nvSpPr>
      <xdr:spPr bwMode="auto">
        <a:xfrm rot="10800000" flipV="1">
          <a:off x="5753100" y="111575850"/>
          <a:ext cx="209550" cy="133350"/>
        </a:xfrm>
        <a:custGeom>
          <a:avLst/>
          <a:gdLst>
            <a:gd name="T0" fmla="*/ 0 w 47"/>
            <a:gd name="T1" fmla="*/ 2147483646 h 14"/>
            <a:gd name="T2" fmla="*/ 2147483646 w 47"/>
            <a:gd name="T3" fmla="*/ 2147483646 h 14"/>
            <a:gd name="T4" fmla="*/ 2147483646 w 47"/>
            <a:gd name="T5" fmla="*/ 0 h 14"/>
            <a:gd name="T6" fmla="*/ 0 60000 65536"/>
            <a:gd name="T7" fmla="*/ 0 60000 65536"/>
            <a:gd name="T8" fmla="*/ 0 60000 65536"/>
            <a:gd name="T9" fmla="*/ 0 w 47"/>
            <a:gd name="T10" fmla="*/ 0 h 14"/>
            <a:gd name="T11" fmla="*/ 47 w 47"/>
            <a:gd name="T12" fmla="*/ 14 h 1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47" h="14">
              <a:moveTo>
                <a:pt x="0" y="14"/>
              </a:moveTo>
              <a:lnTo>
                <a:pt x="47" y="14"/>
              </a:lnTo>
              <a:lnTo>
                <a:pt x="47" y="0"/>
              </a:ln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17</xdr:row>
      <xdr:rowOff>152400</xdr:rowOff>
    </xdr:from>
    <xdr:to>
      <xdr:col>7</xdr:col>
      <xdr:colOff>228600</xdr:colOff>
      <xdr:row>18</xdr:row>
      <xdr:rowOff>95250</xdr:rowOff>
    </xdr:to>
    <xdr:sp macro="" textlink="">
      <xdr:nvSpPr>
        <xdr:cNvPr id="104" name="Freeform 100">
          <a:extLst>
            <a:ext uri="{FF2B5EF4-FFF2-40B4-BE49-F238E27FC236}">
              <a16:creationId xmlns:a16="http://schemas.microsoft.com/office/drawing/2014/main" id="{D689B1B4-F443-4587-89E8-E0711869FA75}"/>
            </a:ext>
          </a:extLst>
        </xdr:cNvPr>
        <xdr:cNvSpPr>
          <a:spLocks/>
        </xdr:cNvSpPr>
      </xdr:nvSpPr>
      <xdr:spPr bwMode="auto">
        <a:xfrm>
          <a:off x="3257550" y="111004350"/>
          <a:ext cx="228600" cy="133350"/>
        </a:xfrm>
        <a:custGeom>
          <a:avLst/>
          <a:gdLst>
            <a:gd name="T0" fmla="*/ 0 w 47"/>
            <a:gd name="T1" fmla="*/ 2147483646 h 14"/>
            <a:gd name="T2" fmla="*/ 2147483646 w 47"/>
            <a:gd name="T3" fmla="*/ 2147483646 h 14"/>
            <a:gd name="T4" fmla="*/ 2147483646 w 47"/>
            <a:gd name="T5" fmla="*/ 0 h 14"/>
            <a:gd name="T6" fmla="*/ 0 60000 65536"/>
            <a:gd name="T7" fmla="*/ 0 60000 65536"/>
            <a:gd name="T8" fmla="*/ 0 60000 65536"/>
            <a:gd name="T9" fmla="*/ 0 w 47"/>
            <a:gd name="T10" fmla="*/ 0 h 14"/>
            <a:gd name="T11" fmla="*/ 47 w 47"/>
            <a:gd name="T12" fmla="*/ 14 h 1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47" h="14">
              <a:moveTo>
                <a:pt x="0" y="14"/>
              </a:moveTo>
              <a:lnTo>
                <a:pt x="47" y="14"/>
              </a:lnTo>
              <a:lnTo>
                <a:pt x="47" y="0"/>
              </a:ln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219891</xdr:colOff>
      <xdr:row>24</xdr:row>
      <xdr:rowOff>95740</xdr:rowOff>
    </xdr:from>
    <xdr:to>
      <xdr:col>3</xdr:col>
      <xdr:colOff>77082</xdr:colOff>
      <xdr:row>25</xdr:row>
      <xdr:rowOff>53811</xdr:rowOff>
    </xdr:to>
    <xdr:sp macro="" textlink="">
      <xdr:nvSpPr>
        <xdr:cNvPr id="109" name="Arrow: Down 2">
          <a:extLst>
            <a:ext uri="{FF2B5EF4-FFF2-40B4-BE49-F238E27FC236}">
              <a16:creationId xmlns:a16="http://schemas.microsoft.com/office/drawing/2014/main" id="{6949A5BE-09D0-49BF-AF23-4D3B4BCA491E}"/>
            </a:ext>
          </a:extLst>
        </xdr:cNvPr>
        <xdr:cNvSpPr/>
      </xdr:nvSpPr>
      <xdr:spPr>
        <a:xfrm rot="5400000">
          <a:off x="1536289" y="112228442"/>
          <a:ext cx="145396" cy="250891"/>
        </a:xfrm>
        <a:prstGeom prst="downArrow">
          <a:avLst>
            <a:gd name="adj1" fmla="val 42686"/>
            <a:gd name="adj2" fmla="val 74561"/>
          </a:avLst>
        </a:prstGeom>
        <a:solidFill>
          <a:srgbClr val="FFC000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66807</xdr:colOff>
      <xdr:row>10</xdr:row>
      <xdr:rowOff>135119</xdr:rowOff>
    </xdr:from>
    <xdr:to>
      <xdr:col>8</xdr:col>
      <xdr:colOff>207677</xdr:colOff>
      <xdr:row>11</xdr:row>
      <xdr:rowOff>162671</xdr:rowOff>
    </xdr:to>
    <xdr:sp macro="" textlink="">
      <xdr:nvSpPr>
        <xdr:cNvPr id="110" name="Arrow: Down 6">
          <a:extLst>
            <a:ext uri="{FF2B5EF4-FFF2-40B4-BE49-F238E27FC236}">
              <a16:creationId xmlns:a16="http://schemas.microsoft.com/office/drawing/2014/main" id="{8A7C046A-F0D2-4E6B-996A-9E957C0D7D58}"/>
            </a:ext>
          </a:extLst>
        </xdr:cNvPr>
        <xdr:cNvSpPr/>
      </xdr:nvSpPr>
      <xdr:spPr>
        <a:xfrm rot="10800000">
          <a:off x="3711707" y="109653569"/>
          <a:ext cx="144045" cy="214877"/>
        </a:xfrm>
        <a:prstGeom prst="downArrow">
          <a:avLst>
            <a:gd name="adj1" fmla="val 42686"/>
            <a:gd name="adj2" fmla="val 74561"/>
          </a:avLst>
        </a:prstGeom>
        <a:solidFill>
          <a:srgbClr val="FFC000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142857</xdr:colOff>
      <xdr:row>16</xdr:row>
      <xdr:rowOff>15490</xdr:rowOff>
    </xdr:from>
    <xdr:to>
      <xdr:col>18</xdr:col>
      <xdr:colOff>350998</xdr:colOff>
      <xdr:row>16</xdr:row>
      <xdr:rowOff>156360</xdr:rowOff>
    </xdr:to>
    <xdr:sp macro="" textlink="">
      <xdr:nvSpPr>
        <xdr:cNvPr id="111" name="Arrow: Down 7">
          <a:extLst>
            <a:ext uri="{FF2B5EF4-FFF2-40B4-BE49-F238E27FC236}">
              <a16:creationId xmlns:a16="http://schemas.microsoft.com/office/drawing/2014/main" id="{68F8F7C3-638D-436C-9C8E-CB88BAD4C686}"/>
            </a:ext>
          </a:extLst>
        </xdr:cNvPr>
        <xdr:cNvSpPr/>
      </xdr:nvSpPr>
      <xdr:spPr>
        <a:xfrm rot="16200000">
          <a:off x="7729818" y="110643304"/>
          <a:ext cx="147220" cy="208141"/>
        </a:xfrm>
        <a:prstGeom prst="downArrow">
          <a:avLst>
            <a:gd name="adj1" fmla="val 42686"/>
            <a:gd name="adj2" fmla="val 74561"/>
          </a:avLst>
        </a:prstGeom>
        <a:solidFill>
          <a:srgbClr val="FFC000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255443</xdr:colOff>
      <xdr:row>29</xdr:row>
      <xdr:rowOff>126160</xdr:rowOff>
    </xdr:from>
    <xdr:to>
      <xdr:col>14</xdr:col>
      <xdr:colOff>28648</xdr:colOff>
      <xdr:row>30</xdr:row>
      <xdr:rowOff>153712</xdr:rowOff>
    </xdr:to>
    <xdr:sp macro="" textlink="">
      <xdr:nvSpPr>
        <xdr:cNvPr id="112" name="Arrow: Down 8">
          <a:extLst>
            <a:ext uri="{FF2B5EF4-FFF2-40B4-BE49-F238E27FC236}">
              <a16:creationId xmlns:a16="http://schemas.microsoft.com/office/drawing/2014/main" id="{FA8F1984-5002-4B03-A8B0-FCED31BB49D5}"/>
            </a:ext>
          </a:extLst>
        </xdr:cNvPr>
        <xdr:cNvSpPr/>
      </xdr:nvSpPr>
      <xdr:spPr>
        <a:xfrm>
          <a:off x="5859318" y="113260935"/>
          <a:ext cx="157380" cy="221227"/>
        </a:xfrm>
        <a:prstGeom prst="downArrow">
          <a:avLst>
            <a:gd name="adj1" fmla="val 42686"/>
            <a:gd name="adj2" fmla="val 74561"/>
          </a:avLst>
        </a:prstGeom>
        <a:solidFill>
          <a:srgbClr val="FFC000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200025</xdr:colOff>
      <xdr:row>24</xdr:row>
      <xdr:rowOff>152400</xdr:rowOff>
    </xdr:from>
    <xdr:to>
      <xdr:col>12</xdr:col>
      <xdr:colOff>295275</xdr:colOff>
      <xdr:row>25</xdr:row>
      <xdr:rowOff>171450</xdr:rowOff>
    </xdr:to>
    <xdr:sp macro="" textlink="">
      <xdr:nvSpPr>
        <xdr:cNvPr id="113" name="Freeform 101">
          <a:extLst>
            <a:ext uri="{FF2B5EF4-FFF2-40B4-BE49-F238E27FC236}">
              <a16:creationId xmlns:a16="http://schemas.microsoft.com/office/drawing/2014/main" id="{22C9471B-3B0F-4C1D-ADED-B9277024DAA5}"/>
            </a:ext>
          </a:extLst>
        </xdr:cNvPr>
        <xdr:cNvSpPr>
          <a:spLocks/>
        </xdr:cNvSpPr>
      </xdr:nvSpPr>
      <xdr:spPr bwMode="auto">
        <a:xfrm rot="16200000" flipV="1">
          <a:off x="5349875" y="112395000"/>
          <a:ext cx="209550" cy="95250"/>
        </a:xfrm>
        <a:custGeom>
          <a:avLst/>
          <a:gdLst>
            <a:gd name="T0" fmla="*/ 0 w 8839"/>
            <a:gd name="T1" fmla="*/ 2147483646 h 10000"/>
            <a:gd name="T2" fmla="*/ 2147483646 w 8839"/>
            <a:gd name="T3" fmla="*/ 2147483646 h 10000"/>
            <a:gd name="T4" fmla="*/ 2147483646 w 8839"/>
            <a:gd name="T5" fmla="*/ 2147483646 h 10000"/>
            <a:gd name="T6" fmla="*/ 2147483646 w 8839"/>
            <a:gd name="T7" fmla="*/ 0 h 10000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8839" h="10000">
              <a:moveTo>
                <a:pt x="0" y="9994"/>
              </a:moveTo>
              <a:lnTo>
                <a:pt x="6816" y="9994"/>
              </a:lnTo>
              <a:cubicBezTo>
                <a:pt x="9374" y="10277"/>
                <a:pt x="9756" y="1109"/>
                <a:pt x="6513" y="478"/>
              </a:cubicBezTo>
              <a:cubicBezTo>
                <a:pt x="5103" y="-392"/>
                <a:pt x="4997" y="261"/>
                <a:pt x="2426" y="0"/>
              </a:cubicBez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95250</xdr:colOff>
      <xdr:row>16</xdr:row>
      <xdr:rowOff>9525</xdr:rowOff>
    </xdr:from>
    <xdr:to>
      <xdr:col>9</xdr:col>
      <xdr:colOff>190500</xdr:colOff>
      <xdr:row>17</xdr:row>
      <xdr:rowOff>28575</xdr:rowOff>
    </xdr:to>
    <xdr:sp macro="" textlink="">
      <xdr:nvSpPr>
        <xdr:cNvPr id="114" name="Freeform 101">
          <a:extLst>
            <a:ext uri="{FF2B5EF4-FFF2-40B4-BE49-F238E27FC236}">
              <a16:creationId xmlns:a16="http://schemas.microsoft.com/office/drawing/2014/main" id="{2547471E-3FEC-4562-8CEC-8BF13934CBC1}"/>
            </a:ext>
          </a:extLst>
        </xdr:cNvPr>
        <xdr:cNvSpPr>
          <a:spLocks/>
        </xdr:cNvSpPr>
      </xdr:nvSpPr>
      <xdr:spPr bwMode="auto">
        <a:xfrm rot="5400000" flipV="1">
          <a:off x="4076700" y="110724950"/>
          <a:ext cx="209550" cy="95250"/>
        </a:xfrm>
        <a:custGeom>
          <a:avLst/>
          <a:gdLst>
            <a:gd name="T0" fmla="*/ 0 w 8839"/>
            <a:gd name="T1" fmla="*/ 2147483646 h 10000"/>
            <a:gd name="T2" fmla="*/ 2147483646 w 8839"/>
            <a:gd name="T3" fmla="*/ 2147483646 h 10000"/>
            <a:gd name="T4" fmla="*/ 2147483646 w 8839"/>
            <a:gd name="T5" fmla="*/ 2147483646 h 10000"/>
            <a:gd name="T6" fmla="*/ 2147483646 w 8839"/>
            <a:gd name="T7" fmla="*/ 0 h 10000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8839" h="10000">
              <a:moveTo>
                <a:pt x="0" y="9994"/>
              </a:moveTo>
              <a:lnTo>
                <a:pt x="6816" y="9994"/>
              </a:lnTo>
              <a:cubicBezTo>
                <a:pt x="9374" y="10277"/>
                <a:pt x="9756" y="1109"/>
                <a:pt x="6513" y="478"/>
              </a:cubicBezTo>
              <a:cubicBezTo>
                <a:pt x="5103" y="-392"/>
                <a:pt x="4997" y="261"/>
                <a:pt x="2426" y="0"/>
              </a:cubicBez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9385</xdr:colOff>
      <xdr:row>21</xdr:row>
      <xdr:rowOff>104912</xdr:rowOff>
    </xdr:from>
    <xdr:to>
      <xdr:col>7</xdr:col>
      <xdr:colOff>218935</xdr:colOff>
      <xdr:row>22</xdr:row>
      <xdr:rowOff>9662</xdr:rowOff>
    </xdr:to>
    <xdr:sp macro="" textlink="">
      <xdr:nvSpPr>
        <xdr:cNvPr id="9" name="Freeform 101">
          <a:extLst>
            <a:ext uri="{FF2B5EF4-FFF2-40B4-BE49-F238E27FC236}">
              <a16:creationId xmlns:a16="http://schemas.microsoft.com/office/drawing/2014/main" id="{EF93A948-76C3-B7F7-6FCA-4486FFC4C9B3}"/>
            </a:ext>
          </a:extLst>
        </xdr:cNvPr>
        <xdr:cNvSpPr>
          <a:spLocks/>
        </xdr:cNvSpPr>
      </xdr:nvSpPr>
      <xdr:spPr bwMode="auto">
        <a:xfrm flipV="1">
          <a:off x="3264450" y="4734890"/>
          <a:ext cx="209550" cy="95250"/>
        </a:xfrm>
        <a:custGeom>
          <a:avLst/>
          <a:gdLst>
            <a:gd name="T0" fmla="*/ 0 w 8839"/>
            <a:gd name="T1" fmla="*/ 2147483646 h 10000"/>
            <a:gd name="T2" fmla="*/ 2147483646 w 8839"/>
            <a:gd name="T3" fmla="*/ 2147483646 h 10000"/>
            <a:gd name="T4" fmla="*/ 2147483646 w 8839"/>
            <a:gd name="T5" fmla="*/ 2147483646 h 10000"/>
            <a:gd name="T6" fmla="*/ 2147483646 w 8839"/>
            <a:gd name="T7" fmla="*/ 0 h 10000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8839" h="10000">
              <a:moveTo>
                <a:pt x="0" y="9994"/>
              </a:moveTo>
              <a:lnTo>
                <a:pt x="6816" y="9994"/>
              </a:lnTo>
              <a:cubicBezTo>
                <a:pt x="9374" y="10277"/>
                <a:pt x="9756" y="1109"/>
                <a:pt x="6513" y="478"/>
              </a:cubicBezTo>
              <a:cubicBezTo>
                <a:pt x="5103" y="-392"/>
                <a:pt x="4997" y="261"/>
                <a:pt x="2426" y="0"/>
              </a:cubicBez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152587</xdr:colOff>
      <xdr:row>19</xdr:row>
      <xdr:rowOff>177316</xdr:rowOff>
    </xdr:from>
    <xdr:to>
      <xdr:col>13</xdr:col>
      <xdr:colOff>362137</xdr:colOff>
      <xdr:row>20</xdr:row>
      <xdr:rowOff>82066</xdr:rowOff>
    </xdr:to>
    <xdr:sp macro="" textlink="">
      <xdr:nvSpPr>
        <xdr:cNvPr id="18" name="Freeform 101">
          <a:extLst>
            <a:ext uri="{FF2B5EF4-FFF2-40B4-BE49-F238E27FC236}">
              <a16:creationId xmlns:a16="http://schemas.microsoft.com/office/drawing/2014/main" id="{EBA2FD66-32C8-35A1-144D-F8E37D97E72A}"/>
            </a:ext>
          </a:extLst>
        </xdr:cNvPr>
        <xdr:cNvSpPr>
          <a:spLocks/>
        </xdr:cNvSpPr>
      </xdr:nvSpPr>
      <xdr:spPr bwMode="auto">
        <a:xfrm rot="10800000" flipV="1">
          <a:off x="5778290" y="4427847"/>
          <a:ext cx="209550" cy="95250"/>
        </a:xfrm>
        <a:custGeom>
          <a:avLst/>
          <a:gdLst>
            <a:gd name="T0" fmla="*/ 0 w 8839"/>
            <a:gd name="T1" fmla="*/ 2147483646 h 10000"/>
            <a:gd name="T2" fmla="*/ 2147483646 w 8839"/>
            <a:gd name="T3" fmla="*/ 2147483646 h 10000"/>
            <a:gd name="T4" fmla="*/ 2147483646 w 8839"/>
            <a:gd name="T5" fmla="*/ 2147483646 h 10000"/>
            <a:gd name="T6" fmla="*/ 2147483646 w 8839"/>
            <a:gd name="T7" fmla="*/ 0 h 10000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8839" h="10000">
              <a:moveTo>
                <a:pt x="0" y="9994"/>
              </a:moveTo>
              <a:lnTo>
                <a:pt x="6816" y="9994"/>
              </a:lnTo>
              <a:cubicBezTo>
                <a:pt x="9374" y="10277"/>
                <a:pt x="9756" y="1109"/>
                <a:pt x="6513" y="478"/>
              </a:cubicBezTo>
              <a:cubicBezTo>
                <a:pt x="5103" y="-392"/>
                <a:pt x="4997" y="261"/>
                <a:pt x="2426" y="0"/>
              </a:cubicBez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7258</xdr:colOff>
      <xdr:row>41</xdr:row>
      <xdr:rowOff>9070</xdr:rowOff>
    </xdr:from>
    <xdr:to>
      <xdr:col>32</xdr:col>
      <xdr:colOff>204107</xdr:colOff>
      <xdr:row>60</xdr:row>
      <xdr:rowOff>75957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366B901-6C26-A912-D4CC-C466A6761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91EE-BF83-4E63-BA9C-C20B2AC710B1}">
  <sheetPr>
    <tabColor rgb="FF002060"/>
  </sheetPr>
  <dimension ref="A1:BG218"/>
  <sheetViews>
    <sheetView tabSelected="1" topLeftCell="A3" zoomScale="55" zoomScaleNormal="55" workbookViewId="0">
      <selection activeCell="BA40" sqref="BA40"/>
    </sheetView>
  </sheetViews>
  <sheetFormatPr defaultColWidth="9.08984375" defaultRowHeight="15.5"/>
  <cols>
    <col min="1" max="1" width="9.08984375" style="2"/>
    <col min="2" max="2" width="9" style="2" bestFit="1" customWidth="1"/>
    <col min="3" max="5" width="5.6328125" style="2" customWidth="1"/>
    <col min="6" max="6" width="6.08984375" style="2" customWidth="1"/>
    <col min="7" max="21" width="5.6328125" style="2" customWidth="1"/>
    <col min="22" max="22" width="9.36328125" style="2" bestFit="1" customWidth="1"/>
    <col min="23" max="40" width="7.6328125" style="2" customWidth="1"/>
    <col min="41" max="16384" width="9.08984375" style="2"/>
  </cols>
  <sheetData>
    <row r="1" spans="2:40" s="4" customFormat="1" ht="16" thickBot="1">
      <c r="AN1" s="6"/>
    </row>
    <row r="2" spans="2:40" ht="63.75" customHeight="1" thickBot="1">
      <c r="B2" s="136" t="str">
        <f>"ข้อมูลปริมาณจราจรบริเวณทางแยก (Turning Movement Count)
จุดนับรถที่ "</f>
        <v xml:space="preserve">ข้อมูลปริมาณจราจรบริเวณทางแยก (Turning Movement Count)
จุดนับรถที่ 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8"/>
    </row>
    <row r="3" spans="2:40" s="7" customFormat="1" ht="15" customHeight="1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1"/>
    </row>
    <row r="4" spans="2:40" s="7" customFormat="1" ht="15" customHeight="1">
      <c r="B4" s="12"/>
      <c r="C4" s="139" t="s">
        <v>17</v>
      </c>
      <c r="D4" s="139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4"/>
    </row>
    <row r="5" spans="2:40" s="21" customFormat="1" ht="15" customHeight="1">
      <c r="B5" s="15"/>
      <c r="C5" s="139" t="s">
        <v>18</v>
      </c>
      <c r="D5" s="139"/>
      <c r="E5" s="16"/>
      <c r="F5" s="16"/>
      <c r="G5" s="16"/>
      <c r="H5" s="16"/>
      <c r="I5" s="17"/>
      <c r="J5" s="17" t="s">
        <v>19</v>
      </c>
      <c r="K5" s="141"/>
      <c r="L5" s="142"/>
      <c r="M5" s="142"/>
      <c r="N5" s="18"/>
      <c r="O5" s="139" t="s">
        <v>20</v>
      </c>
      <c r="P5" s="139"/>
      <c r="Q5" s="143"/>
      <c r="R5" s="143"/>
      <c r="S5" s="19"/>
      <c r="T5" s="18"/>
      <c r="U5" s="18"/>
      <c r="V5" s="18"/>
      <c r="W5" s="20"/>
      <c r="X5" s="20"/>
      <c r="Y5" s="20"/>
      <c r="Z5" s="20"/>
      <c r="AA5" s="20"/>
      <c r="AC5" s="22"/>
      <c r="AE5" s="17"/>
      <c r="AF5" s="17"/>
      <c r="AG5" s="17"/>
      <c r="AH5" s="17"/>
      <c r="AI5" s="17"/>
      <c r="AJ5" s="17"/>
      <c r="AK5" s="17"/>
      <c r="AL5" s="17"/>
      <c r="AM5" s="17"/>
      <c r="AN5" s="23"/>
    </row>
    <row r="6" spans="2:40" s="21" customFormat="1" ht="15" customHeight="1">
      <c r="B6" s="15"/>
      <c r="C6" s="139" t="s">
        <v>21</v>
      </c>
      <c r="D6" s="139"/>
      <c r="E6" s="24" t="s">
        <v>22</v>
      </c>
      <c r="F6" s="16"/>
      <c r="G6" s="16"/>
      <c r="H6" s="16"/>
      <c r="I6" s="17"/>
      <c r="J6" s="17" t="s">
        <v>23</v>
      </c>
      <c r="K6" s="143"/>
      <c r="L6" s="143"/>
      <c r="M6" s="143"/>
      <c r="N6" s="17"/>
      <c r="O6" s="20"/>
      <c r="P6" s="20"/>
      <c r="Q6" s="20"/>
      <c r="R6" s="20"/>
      <c r="S6" s="20"/>
      <c r="T6" s="17"/>
      <c r="U6" s="17"/>
      <c r="V6" s="17"/>
      <c r="W6" s="17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5"/>
    </row>
    <row r="7" spans="2:40" ht="15" customHeight="1" thickBot="1">
      <c r="B7" s="26"/>
      <c r="C7" s="27"/>
      <c r="D7" s="28"/>
      <c r="E7" s="28"/>
      <c r="F7" s="28"/>
      <c r="G7" s="28"/>
      <c r="H7" s="28"/>
      <c r="I7" s="28"/>
      <c r="J7" s="27"/>
      <c r="K7" s="27"/>
      <c r="L7" s="27"/>
      <c r="M7" s="27"/>
      <c r="N7" s="28"/>
      <c r="O7" s="27"/>
      <c r="P7" s="27"/>
      <c r="Q7" s="27"/>
      <c r="R7" s="27"/>
      <c r="S7" s="27"/>
      <c r="T7" s="27"/>
      <c r="U7" s="27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5"/>
    </row>
    <row r="8" spans="2:40" ht="15" customHeight="1" thickBot="1">
      <c r="B8" s="26"/>
      <c r="C8" s="144">
        <f>E5</f>
        <v>0</v>
      </c>
      <c r="D8" s="145"/>
      <c r="E8" s="145"/>
      <c r="F8" s="145"/>
      <c r="G8" s="145"/>
      <c r="H8" s="146"/>
      <c r="I8" s="30"/>
      <c r="J8" s="30"/>
      <c r="K8" s="30"/>
      <c r="L8" s="30"/>
      <c r="M8" s="30"/>
      <c r="N8" s="31"/>
      <c r="O8" s="31"/>
      <c r="P8" s="31"/>
      <c r="Q8" s="31"/>
      <c r="R8" s="147"/>
      <c r="S8" s="147"/>
      <c r="T8" s="32"/>
      <c r="U8" s="33"/>
      <c r="V8" s="148" t="s">
        <v>24</v>
      </c>
      <c r="W8" s="130" t="s">
        <v>25</v>
      </c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1"/>
      <c r="AM8" s="132"/>
      <c r="AN8" s="25"/>
    </row>
    <row r="9" spans="2:40" ht="15" customHeight="1" thickBot="1">
      <c r="B9" s="26"/>
      <c r="C9" s="133">
        <f>+K5</f>
        <v>0</v>
      </c>
      <c r="D9" s="134"/>
      <c r="E9" s="134"/>
      <c r="F9" s="134"/>
      <c r="G9" s="134"/>
      <c r="H9" s="135"/>
      <c r="I9" s="34"/>
      <c r="J9" s="34"/>
      <c r="K9" s="34"/>
      <c r="L9" s="34"/>
      <c r="M9" s="34"/>
      <c r="N9" s="28"/>
      <c r="O9" s="28"/>
      <c r="P9" s="28"/>
      <c r="Q9" s="27"/>
      <c r="R9" s="27"/>
      <c r="S9" s="35"/>
      <c r="T9" s="36"/>
      <c r="U9" s="37">
        <v>1</v>
      </c>
      <c r="V9" s="149"/>
      <c r="W9" s="38" t="s">
        <v>55</v>
      </c>
      <c r="X9" s="39" t="s">
        <v>56</v>
      </c>
      <c r="Y9" s="38" t="s">
        <v>57</v>
      </c>
      <c r="Z9" s="40" t="s">
        <v>10</v>
      </c>
      <c r="AA9" s="38" t="s">
        <v>58</v>
      </c>
      <c r="AB9" s="39" t="s">
        <v>59</v>
      </c>
      <c r="AC9" s="38" t="s">
        <v>60</v>
      </c>
      <c r="AD9" s="40" t="s">
        <v>11</v>
      </c>
      <c r="AE9" s="38" t="s">
        <v>61</v>
      </c>
      <c r="AF9" s="39" t="s">
        <v>62</v>
      </c>
      <c r="AG9" s="38" t="s">
        <v>63</v>
      </c>
      <c r="AH9" s="40" t="s">
        <v>13</v>
      </c>
      <c r="AI9" s="38" t="s">
        <v>64</v>
      </c>
      <c r="AJ9" s="39" t="s">
        <v>65</v>
      </c>
      <c r="AK9" s="38" t="s">
        <v>66</v>
      </c>
      <c r="AL9" s="40" t="s">
        <v>12</v>
      </c>
      <c r="AM9" s="41" t="s">
        <v>0</v>
      </c>
      <c r="AN9" s="25"/>
    </row>
    <row r="10" spans="2:40" ht="15" customHeight="1">
      <c r="B10" s="42"/>
      <c r="C10" s="43"/>
      <c r="D10" s="34"/>
      <c r="E10" s="34"/>
      <c r="F10" s="34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36"/>
      <c r="U10" s="44">
        <v>2</v>
      </c>
      <c r="V10" s="45" t="s">
        <v>26</v>
      </c>
      <c r="W10" s="46">
        <v>106</v>
      </c>
      <c r="X10" s="47">
        <v>222</v>
      </c>
      <c r="Y10" s="46">
        <v>8</v>
      </c>
      <c r="Z10" s="48">
        <v>40</v>
      </c>
      <c r="AA10" s="46">
        <v>110</v>
      </c>
      <c r="AB10" s="47">
        <v>246</v>
      </c>
      <c r="AC10" s="46">
        <v>81</v>
      </c>
      <c r="AD10" s="48">
        <v>20</v>
      </c>
      <c r="AE10" s="46">
        <v>7</v>
      </c>
      <c r="AF10" s="47">
        <v>34</v>
      </c>
      <c r="AG10" s="46">
        <v>55</v>
      </c>
      <c r="AH10" s="48">
        <v>0</v>
      </c>
      <c r="AI10" s="46">
        <v>88</v>
      </c>
      <c r="AJ10" s="47">
        <v>16</v>
      </c>
      <c r="AK10" s="46">
        <v>140</v>
      </c>
      <c r="AL10" s="48">
        <v>0</v>
      </c>
      <c r="AM10" s="48">
        <v>1171</v>
      </c>
      <c r="AN10" s="25"/>
    </row>
    <row r="11" spans="2:40" ht="15" customHeight="1">
      <c r="B11" s="42"/>
      <c r="C11" s="49"/>
      <c r="D11" s="34"/>
      <c r="E11" s="34"/>
      <c r="F11" s="34"/>
      <c r="G11" s="27"/>
      <c r="H11" s="27"/>
      <c r="I11" s="28"/>
      <c r="J11" s="28"/>
      <c r="K11" s="28" t="s">
        <v>47</v>
      </c>
      <c r="L11" s="28"/>
      <c r="M11" s="28"/>
      <c r="N11" s="28"/>
      <c r="O11" s="28"/>
      <c r="P11" s="28"/>
      <c r="Q11" s="28"/>
      <c r="R11" s="28"/>
      <c r="S11" s="28"/>
      <c r="T11" s="50"/>
      <c r="U11" s="37">
        <v>3</v>
      </c>
      <c r="V11" s="45" t="s">
        <v>27</v>
      </c>
      <c r="W11" s="46">
        <v>162</v>
      </c>
      <c r="X11" s="47">
        <v>234</v>
      </c>
      <c r="Y11" s="46">
        <v>8</v>
      </c>
      <c r="Z11" s="48">
        <v>38</v>
      </c>
      <c r="AA11" s="46">
        <v>108</v>
      </c>
      <c r="AB11" s="47">
        <v>229</v>
      </c>
      <c r="AC11" s="46">
        <v>91</v>
      </c>
      <c r="AD11" s="48">
        <v>18</v>
      </c>
      <c r="AE11" s="46">
        <v>6</v>
      </c>
      <c r="AF11" s="47">
        <v>33</v>
      </c>
      <c r="AG11" s="46">
        <v>72</v>
      </c>
      <c r="AH11" s="48">
        <v>0</v>
      </c>
      <c r="AI11" s="46">
        <v>124</v>
      </c>
      <c r="AJ11" s="47">
        <v>10</v>
      </c>
      <c r="AK11" s="46">
        <v>105</v>
      </c>
      <c r="AL11" s="48">
        <v>0</v>
      </c>
      <c r="AM11" s="48">
        <v>1238</v>
      </c>
      <c r="AN11" s="25"/>
    </row>
    <row r="12" spans="2:40" ht="15" customHeight="1">
      <c r="B12" s="42"/>
      <c r="C12" s="42"/>
      <c r="D12" s="28"/>
      <c r="E12" s="27"/>
      <c r="F12" s="27"/>
      <c r="G12" s="34" t="s">
        <v>52</v>
      </c>
      <c r="H12" s="34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35"/>
      <c r="T12" s="36"/>
      <c r="U12" s="44">
        <v>4</v>
      </c>
      <c r="V12" s="45" t="s">
        <v>28</v>
      </c>
      <c r="W12" s="46">
        <v>129</v>
      </c>
      <c r="X12" s="47">
        <v>185</v>
      </c>
      <c r="Y12" s="46">
        <v>7</v>
      </c>
      <c r="Z12" s="48">
        <v>34</v>
      </c>
      <c r="AA12" s="46">
        <v>76</v>
      </c>
      <c r="AB12" s="47">
        <v>192</v>
      </c>
      <c r="AC12" s="46">
        <v>82</v>
      </c>
      <c r="AD12" s="48">
        <v>19</v>
      </c>
      <c r="AE12" s="46">
        <v>1</v>
      </c>
      <c r="AF12" s="47">
        <v>25</v>
      </c>
      <c r="AG12" s="46">
        <v>50</v>
      </c>
      <c r="AH12" s="48">
        <v>0</v>
      </c>
      <c r="AI12" s="46">
        <v>123</v>
      </c>
      <c r="AJ12" s="47">
        <v>7</v>
      </c>
      <c r="AK12" s="46">
        <v>115</v>
      </c>
      <c r="AL12" s="48">
        <v>0</v>
      </c>
      <c r="AM12" s="48">
        <v>1046</v>
      </c>
      <c r="AN12" s="25"/>
    </row>
    <row r="13" spans="2:40" ht="15" customHeight="1">
      <c r="B13" s="42"/>
      <c r="C13" s="42"/>
      <c r="D13" s="28"/>
      <c r="E13" s="27"/>
      <c r="F13" s="27"/>
      <c r="G13" s="27"/>
      <c r="H13" s="27"/>
      <c r="I13" s="27"/>
      <c r="J13" s="51" t="s">
        <v>11</v>
      </c>
      <c r="K13" s="51" t="s">
        <v>60</v>
      </c>
      <c r="L13" s="51" t="s">
        <v>59</v>
      </c>
      <c r="M13" s="51" t="s">
        <v>58</v>
      </c>
      <c r="N13" s="27"/>
      <c r="O13" s="27"/>
      <c r="P13" s="27"/>
      <c r="Q13" s="52"/>
      <c r="R13" s="27"/>
      <c r="S13" s="35"/>
      <c r="T13" s="36"/>
      <c r="U13" s="37">
        <v>5</v>
      </c>
      <c r="V13" s="45" t="s">
        <v>29</v>
      </c>
      <c r="W13" s="46">
        <v>140</v>
      </c>
      <c r="X13" s="47">
        <v>242</v>
      </c>
      <c r="Y13" s="46">
        <v>8</v>
      </c>
      <c r="Z13" s="48">
        <v>31</v>
      </c>
      <c r="AA13" s="46">
        <v>72</v>
      </c>
      <c r="AB13" s="47">
        <v>183</v>
      </c>
      <c r="AC13" s="46">
        <v>82</v>
      </c>
      <c r="AD13" s="48">
        <v>27</v>
      </c>
      <c r="AE13" s="46">
        <v>3</v>
      </c>
      <c r="AF13" s="47">
        <v>18</v>
      </c>
      <c r="AG13" s="46">
        <v>41</v>
      </c>
      <c r="AH13" s="48">
        <v>0</v>
      </c>
      <c r="AI13" s="46">
        <v>109</v>
      </c>
      <c r="AJ13" s="47">
        <v>10</v>
      </c>
      <c r="AK13" s="46">
        <v>132</v>
      </c>
      <c r="AL13" s="48">
        <v>0</v>
      </c>
      <c r="AM13" s="48">
        <v>1097</v>
      </c>
      <c r="AN13" s="25"/>
    </row>
    <row r="14" spans="2:40" ht="15" customHeight="1">
      <c r="B14" s="42"/>
      <c r="C14" s="26"/>
      <c r="D14" s="27"/>
      <c r="E14" s="27"/>
      <c r="F14" s="27"/>
      <c r="G14" s="27"/>
      <c r="H14" s="27"/>
      <c r="I14" s="27"/>
      <c r="J14" s="53">
        <f>HLOOKUP(J13,$W$9:$AL$22,$U$22,FALSE)</f>
        <v>291</v>
      </c>
      <c r="K14" s="53">
        <f>HLOOKUP(K13,$W$9:$AL$22,$U$22,FALSE)</f>
        <v>1111</v>
      </c>
      <c r="L14" s="53">
        <f>HLOOKUP(L13,$W$9:$AL$22,$U$22,FALSE)</f>
        <v>2590</v>
      </c>
      <c r="M14" s="53">
        <f>HLOOKUP(M13,$W$9:$AL$22,$U$22,FALSE)</f>
        <v>1008</v>
      </c>
      <c r="N14" s="27"/>
      <c r="O14" s="28"/>
      <c r="P14" s="28"/>
      <c r="Q14" s="34"/>
      <c r="R14" s="27"/>
      <c r="S14" s="35"/>
      <c r="T14" s="54"/>
      <c r="U14" s="44">
        <v>6</v>
      </c>
      <c r="V14" s="45" t="s">
        <v>30</v>
      </c>
      <c r="W14" s="46">
        <v>140</v>
      </c>
      <c r="X14" s="47">
        <v>239</v>
      </c>
      <c r="Y14" s="46">
        <v>6</v>
      </c>
      <c r="Z14" s="48">
        <v>32</v>
      </c>
      <c r="AA14" s="46">
        <v>59</v>
      </c>
      <c r="AB14" s="47">
        <v>202</v>
      </c>
      <c r="AC14" s="46">
        <v>95</v>
      </c>
      <c r="AD14" s="48">
        <v>20</v>
      </c>
      <c r="AE14" s="46">
        <v>3</v>
      </c>
      <c r="AF14" s="47">
        <v>23</v>
      </c>
      <c r="AG14" s="46">
        <v>61</v>
      </c>
      <c r="AH14" s="48">
        <v>0</v>
      </c>
      <c r="AI14" s="46">
        <v>119</v>
      </c>
      <c r="AJ14" s="47">
        <v>11</v>
      </c>
      <c r="AK14" s="46">
        <v>135</v>
      </c>
      <c r="AL14" s="48">
        <v>0</v>
      </c>
      <c r="AM14" s="48">
        <v>1146</v>
      </c>
      <c r="AN14" s="25"/>
    </row>
    <row r="15" spans="2:40" ht="15" customHeight="1">
      <c r="B15" s="42"/>
      <c r="C15" s="26"/>
      <c r="D15" s="27"/>
      <c r="E15" s="27"/>
      <c r="F15" s="27"/>
      <c r="G15" s="27"/>
      <c r="H15" s="27"/>
      <c r="I15" s="27"/>
      <c r="J15" s="55">
        <f>HLOOKUP(J13,$W$9:$AL$22,$U$20,FALSE)</f>
        <v>37</v>
      </c>
      <c r="K15" s="55">
        <f>HLOOKUP(K13,$W$9:$AL$22,$U$20,FALSE)</f>
        <v>111</v>
      </c>
      <c r="L15" s="55">
        <f>HLOOKUP(L13,$W$9:$AL$22,$U$20,FALSE)</f>
        <v>238</v>
      </c>
      <c r="M15" s="55">
        <f>HLOOKUP(M13,$W$9:$AL$22,$U$20,FALSE)</f>
        <v>89</v>
      </c>
      <c r="N15" s="27"/>
      <c r="O15" s="28"/>
      <c r="P15" s="28"/>
      <c r="Q15" s="34"/>
      <c r="R15" s="27"/>
      <c r="S15" s="35"/>
      <c r="T15" s="36"/>
      <c r="U15" s="37">
        <v>7</v>
      </c>
      <c r="V15" s="45" t="s">
        <v>31</v>
      </c>
      <c r="W15" s="46">
        <v>140</v>
      </c>
      <c r="X15" s="47">
        <v>225</v>
      </c>
      <c r="Y15" s="46">
        <v>10</v>
      </c>
      <c r="Z15" s="48">
        <v>47</v>
      </c>
      <c r="AA15" s="46">
        <v>79</v>
      </c>
      <c r="AB15" s="47">
        <v>235</v>
      </c>
      <c r="AC15" s="46">
        <v>95</v>
      </c>
      <c r="AD15" s="48">
        <v>34</v>
      </c>
      <c r="AE15" s="46">
        <v>8</v>
      </c>
      <c r="AF15" s="47">
        <v>18</v>
      </c>
      <c r="AG15" s="46">
        <v>43</v>
      </c>
      <c r="AH15" s="48">
        <v>0</v>
      </c>
      <c r="AI15" s="46">
        <v>126</v>
      </c>
      <c r="AJ15" s="47">
        <v>16</v>
      </c>
      <c r="AK15" s="46">
        <v>142</v>
      </c>
      <c r="AL15" s="48">
        <v>0</v>
      </c>
      <c r="AM15" s="48">
        <v>1218</v>
      </c>
      <c r="AN15" s="25"/>
    </row>
    <row r="16" spans="2:40" ht="15" customHeight="1">
      <c r="B16" s="42"/>
      <c r="C16" s="42"/>
      <c r="D16" s="27"/>
      <c r="E16" s="27"/>
      <c r="F16" s="28"/>
      <c r="G16" s="28"/>
      <c r="H16" s="27"/>
      <c r="I16" s="27"/>
      <c r="J16" s="56">
        <f>HLOOKUP(J13,$W$9:$AL$22,$U$11,FALSE)</f>
        <v>18</v>
      </c>
      <c r="K16" s="56">
        <f t="shared" ref="K16:M16" si="0">HLOOKUP(K13,$W$9:$AL$22,$U$11,FALSE)</f>
        <v>91</v>
      </c>
      <c r="L16" s="56">
        <f t="shared" si="0"/>
        <v>229</v>
      </c>
      <c r="M16" s="56">
        <f t="shared" si="0"/>
        <v>108</v>
      </c>
      <c r="N16" s="27"/>
      <c r="O16" s="28"/>
      <c r="P16" s="28"/>
      <c r="Q16" s="34"/>
      <c r="R16" s="57"/>
      <c r="S16" s="57"/>
      <c r="T16" s="58"/>
      <c r="U16" s="44">
        <v>8</v>
      </c>
      <c r="V16" s="45" t="s">
        <v>32</v>
      </c>
      <c r="W16" s="46">
        <v>131</v>
      </c>
      <c r="X16" s="47">
        <v>190</v>
      </c>
      <c r="Y16" s="46">
        <v>6</v>
      </c>
      <c r="Z16" s="48">
        <v>60</v>
      </c>
      <c r="AA16" s="46">
        <v>69</v>
      </c>
      <c r="AB16" s="47">
        <v>218</v>
      </c>
      <c r="AC16" s="46">
        <v>117</v>
      </c>
      <c r="AD16" s="48">
        <v>24</v>
      </c>
      <c r="AE16" s="46">
        <v>8</v>
      </c>
      <c r="AF16" s="47">
        <v>25</v>
      </c>
      <c r="AG16" s="46">
        <v>37</v>
      </c>
      <c r="AH16" s="48">
        <v>0</v>
      </c>
      <c r="AI16" s="46">
        <v>85</v>
      </c>
      <c r="AJ16" s="47">
        <v>10</v>
      </c>
      <c r="AK16" s="46">
        <v>120</v>
      </c>
      <c r="AL16" s="48">
        <v>0</v>
      </c>
      <c r="AM16" s="48">
        <v>1099</v>
      </c>
      <c r="AN16" s="25"/>
    </row>
    <row r="17" spans="2:40" ht="15" customHeight="1">
      <c r="B17" s="42"/>
      <c r="C17" s="59"/>
      <c r="D17" s="27"/>
      <c r="E17" s="27"/>
      <c r="F17" s="28"/>
      <c r="G17" s="28"/>
      <c r="H17" s="27"/>
      <c r="I17" s="27"/>
      <c r="K17" s="27"/>
      <c r="L17" s="27"/>
      <c r="M17" s="28"/>
      <c r="N17" s="27"/>
      <c r="O17" s="28"/>
      <c r="P17" s="28"/>
      <c r="Q17" s="34" t="s">
        <v>54</v>
      </c>
      <c r="R17" s="34"/>
      <c r="S17" s="35"/>
      <c r="T17" s="54"/>
      <c r="U17" s="37">
        <v>9</v>
      </c>
      <c r="V17" s="45" t="s">
        <v>33</v>
      </c>
      <c r="W17" s="46">
        <v>133</v>
      </c>
      <c r="X17" s="47">
        <v>219</v>
      </c>
      <c r="Y17" s="46">
        <v>8</v>
      </c>
      <c r="Z17" s="48">
        <v>35</v>
      </c>
      <c r="AA17" s="46">
        <v>80</v>
      </c>
      <c r="AB17" s="47">
        <v>212</v>
      </c>
      <c r="AC17" s="46">
        <v>88</v>
      </c>
      <c r="AD17" s="48">
        <v>26</v>
      </c>
      <c r="AE17" s="46">
        <v>6</v>
      </c>
      <c r="AF17" s="47">
        <v>31</v>
      </c>
      <c r="AG17" s="46">
        <v>36</v>
      </c>
      <c r="AH17" s="48">
        <v>0</v>
      </c>
      <c r="AI17" s="46">
        <v>132</v>
      </c>
      <c r="AJ17" s="47">
        <v>10</v>
      </c>
      <c r="AK17" s="46">
        <v>132</v>
      </c>
      <c r="AL17" s="48">
        <v>0</v>
      </c>
      <c r="AM17" s="48">
        <v>1146</v>
      </c>
      <c r="AN17" s="25"/>
    </row>
    <row r="18" spans="2:40" ht="15" customHeight="1">
      <c r="B18" s="26"/>
      <c r="C18" s="26"/>
      <c r="D18" s="27"/>
      <c r="E18" s="27"/>
      <c r="F18" s="27"/>
      <c r="G18" s="27"/>
      <c r="H18" s="27"/>
      <c r="I18" s="27"/>
      <c r="J18" s="27"/>
      <c r="K18" s="27"/>
      <c r="L18" s="28"/>
      <c r="M18" s="27"/>
      <c r="N18" s="27"/>
      <c r="O18" s="27"/>
      <c r="P18" s="27"/>
      <c r="Q18" s="27"/>
      <c r="R18" s="27"/>
      <c r="S18" s="27"/>
      <c r="T18" s="36"/>
      <c r="U18" s="44">
        <v>10</v>
      </c>
      <c r="V18" s="45" t="s">
        <v>34</v>
      </c>
      <c r="W18" s="46">
        <v>161</v>
      </c>
      <c r="X18" s="47">
        <v>260</v>
      </c>
      <c r="Y18" s="46">
        <v>7</v>
      </c>
      <c r="Z18" s="48">
        <v>48</v>
      </c>
      <c r="AA18" s="46">
        <v>78</v>
      </c>
      <c r="AB18" s="47">
        <v>217</v>
      </c>
      <c r="AC18" s="46">
        <v>110</v>
      </c>
      <c r="AD18" s="48">
        <v>18</v>
      </c>
      <c r="AE18" s="46">
        <v>1</v>
      </c>
      <c r="AF18" s="47">
        <v>18</v>
      </c>
      <c r="AG18" s="46">
        <v>46</v>
      </c>
      <c r="AH18" s="48">
        <v>0</v>
      </c>
      <c r="AI18" s="46">
        <v>144</v>
      </c>
      <c r="AJ18" s="47">
        <v>9</v>
      </c>
      <c r="AK18" s="46">
        <v>139</v>
      </c>
      <c r="AL18" s="48">
        <v>0</v>
      </c>
      <c r="AM18" s="48">
        <v>1256</v>
      </c>
      <c r="AN18" s="25"/>
    </row>
    <row r="19" spans="2:40" ht="15" customHeight="1">
      <c r="B19" s="26"/>
      <c r="C19" s="26"/>
      <c r="D19" s="51" t="s">
        <v>61</v>
      </c>
      <c r="E19" s="53">
        <f>HLOOKUP(D19,$W$9:$AL$22,$U$22,FALSE)</f>
        <v>67</v>
      </c>
      <c r="F19" s="55">
        <f>HLOOKUP(D19,$W$9:$AL$22,$U$20,FALSE)</f>
        <v>9</v>
      </c>
      <c r="G19" s="56">
        <f>HLOOKUP(D19,$W$9:$AL$22,$U$11,FALSE)</f>
        <v>6</v>
      </c>
      <c r="H19" s="27"/>
      <c r="I19" s="27"/>
      <c r="J19" s="27"/>
      <c r="K19" s="60"/>
      <c r="L19" s="28"/>
      <c r="M19" s="27"/>
      <c r="N19" s="27"/>
      <c r="O19" s="27"/>
      <c r="P19" s="27"/>
      <c r="Q19" s="27"/>
      <c r="R19" s="27" t="s">
        <v>48</v>
      </c>
      <c r="S19" s="61"/>
      <c r="T19" s="62"/>
      <c r="U19" s="37">
        <v>11</v>
      </c>
      <c r="V19" s="45" t="s">
        <v>35</v>
      </c>
      <c r="W19" s="46">
        <v>147</v>
      </c>
      <c r="X19" s="47">
        <v>273</v>
      </c>
      <c r="Y19" s="46">
        <v>5</v>
      </c>
      <c r="Z19" s="48">
        <v>45</v>
      </c>
      <c r="AA19" s="46">
        <v>99</v>
      </c>
      <c r="AB19" s="47">
        <v>217</v>
      </c>
      <c r="AC19" s="46">
        <v>94</v>
      </c>
      <c r="AD19" s="48">
        <v>21</v>
      </c>
      <c r="AE19" s="46">
        <v>8</v>
      </c>
      <c r="AF19" s="47">
        <v>21</v>
      </c>
      <c r="AG19" s="46">
        <v>65</v>
      </c>
      <c r="AH19" s="48">
        <v>0</v>
      </c>
      <c r="AI19" s="46">
        <v>109</v>
      </c>
      <c r="AJ19" s="47">
        <v>6</v>
      </c>
      <c r="AK19" s="46">
        <v>134</v>
      </c>
      <c r="AL19" s="48">
        <v>0</v>
      </c>
      <c r="AM19" s="48">
        <v>1243</v>
      </c>
      <c r="AN19" s="25"/>
    </row>
    <row r="20" spans="2:40" ht="15" customHeight="1">
      <c r="B20" s="26"/>
      <c r="C20" s="26"/>
      <c r="D20" s="51" t="s">
        <v>62</v>
      </c>
      <c r="E20" s="53">
        <f>HLOOKUP(D20,$W$9:$AL$22,$U$22,FALSE)</f>
        <v>282</v>
      </c>
      <c r="F20" s="55">
        <f>HLOOKUP(D20,$W$9:$AL$22,$U$20,FALSE)</f>
        <v>20</v>
      </c>
      <c r="G20" s="56">
        <f t="shared" ref="G20:G21" si="1">HLOOKUP(D20,$W$9:$AL$22,$U$11,FALSE)</f>
        <v>33</v>
      </c>
      <c r="H20" s="28"/>
      <c r="I20" s="27"/>
      <c r="J20" s="27"/>
      <c r="K20" s="60"/>
      <c r="L20" s="57"/>
      <c r="M20" s="27"/>
      <c r="N20" s="27"/>
      <c r="O20" s="27"/>
      <c r="P20" s="27"/>
      <c r="Q20" s="27"/>
      <c r="R20" s="27"/>
      <c r="S20" s="27"/>
      <c r="T20" s="62"/>
      <c r="U20" s="44">
        <v>12</v>
      </c>
      <c r="V20" s="45" t="s">
        <v>36</v>
      </c>
      <c r="W20" s="46">
        <v>160</v>
      </c>
      <c r="X20" s="47">
        <v>290</v>
      </c>
      <c r="Y20" s="46">
        <v>8</v>
      </c>
      <c r="Z20" s="48">
        <v>42</v>
      </c>
      <c r="AA20" s="46">
        <v>89</v>
      </c>
      <c r="AB20" s="47">
        <v>238</v>
      </c>
      <c r="AC20" s="46">
        <v>111</v>
      </c>
      <c r="AD20" s="48">
        <v>37</v>
      </c>
      <c r="AE20" s="46">
        <v>9</v>
      </c>
      <c r="AF20" s="47">
        <v>20</v>
      </c>
      <c r="AG20" s="46">
        <v>45</v>
      </c>
      <c r="AH20" s="48">
        <v>0</v>
      </c>
      <c r="AI20" s="46">
        <v>107</v>
      </c>
      <c r="AJ20" s="47">
        <v>17</v>
      </c>
      <c r="AK20" s="46">
        <v>139</v>
      </c>
      <c r="AL20" s="48">
        <v>0</v>
      </c>
      <c r="AM20" s="48">
        <v>1311</v>
      </c>
      <c r="AN20" s="25"/>
    </row>
    <row r="21" spans="2:40" ht="15" customHeight="1" thickBot="1">
      <c r="B21" s="63"/>
      <c r="C21" s="26"/>
      <c r="D21" s="51" t="s">
        <v>63</v>
      </c>
      <c r="E21" s="53">
        <f>HLOOKUP(D21,$W$9:$AL$22,$U$22,FALSE)</f>
        <v>588</v>
      </c>
      <c r="F21" s="55">
        <f>HLOOKUP(D21,$W$9:$AL$22,$U$20,FALSE)</f>
        <v>45</v>
      </c>
      <c r="G21" s="56">
        <f t="shared" si="1"/>
        <v>72</v>
      </c>
      <c r="H21" s="28"/>
      <c r="I21" s="60"/>
      <c r="J21" s="27"/>
      <c r="K21" s="27"/>
      <c r="L21" s="28"/>
      <c r="M21" s="27"/>
      <c r="N21" s="27"/>
      <c r="O21" s="56">
        <f>HLOOKUP(R21,$W$9:$AL$22,$U$11,FALSE)</f>
        <v>0</v>
      </c>
      <c r="P21" s="55">
        <f>HLOOKUP(R21,$W$9:$AL$22,$U$20,FALSE)</f>
        <v>0</v>
      </c>
      <c r="Q21" s="53">
        <f>HLOOKUP(R21,$W$9:$AL$22,$U$22,FALSE)</f>
        <v>0</v>
      </c>
      <c r="R21" s="51" t="s">
        <v>12</v>
      </c>
      <c r="S21" s="27"/>
      <c r="T21" s="58"/>
      <c r="U21" s="37">
        <v>13</v>
      </c>
      <c r="V21" s="64" t="s">
        <v>37</v>
      </c>
      <c r="W21" s="46">
        <v>130</v>
      </c>
      <c r="X21" s="47">
        <v>188</v>
      </c>
      <c r="Y21" s="46">
        <v>5</v>
      </c>
      <c r="Z21" s="48">
        <v>49</v>
      </c>
      <c r="AA21" s="46">
        <v>89</v>
      </c>
      <c r="AB21" s="47">
        <v>201</v>
      </c>
      <c r="AC21" s="46">
        <v>65</v>
      </c>
      <c r="AD21" s="48">
        <v>27</v>
      </c>
      <c r="AE21" s="46">
        <v>7</v>
      </c>
      <c r="AF21" s="47">
        <v>16</v>
      </c>
      <c r="AG21" s="46">
        <v>37</v>
      </c>
      <c r="AH21" s="48">
        <v>0</v>
      </c>
      <c r="AI21" s="46">
        <v>132</v>
      </c>
      <c r="AJ21" s="47">
        <v>15</v>
      </c>
      <c r="AK21" s="46">
        <v>100</v>
      </c>
      <c r="AL21" s="48">
        <v>0</v>
      </c>
      <c r="AM21" s="48">
        <v>1062</v>
      </c>
      <c r="AN21" s="25"/>
    </row>
    <row r="22" spans="2:40" ht="15" customHeight="1" thickBot="1">
      <c r="B22" s="63"/>
      <c r="C22" s="26"/>
      <c r="D22" s="51" t="s">
        <v>13</v>
      </c>
      <c r="E22" s="53">
        <f>HLOOKUP(D22,$W$9:$AL$22,$U$22,FALSE)</f>
        <v>0</v>
      </c>
      <c r="F22" s="55">
        <f>HLOOKUP(D22,$W$9:$AL$22,$U$20,FALSE)</f>
        <v>0</v>
      </c>
      <c r="G22" s="56">
        <f t="shared" ref="G22" si="2">HLOOKUP(D22,$W$9:$AL$22,$U$11,FALSE)</f>
        <v>0</v>
      </c>
      <c r="H22" s="27"/>
      <c r="I22" s="60"/>
      <c r="J22" s="27"/>
      <c r="K22" s="27"/>
      <c r="L22" s="65"/>
      <c r="M22" s="27"/>
      <c r="N22" s="27"/>
      <c r="O22" s="56">
        <f>HLOOKUP(R22,$W$9:$AL$22,$U$11,FALSE)</f>
        <v>105</v>
      </c>
      <c r="P22" s="55">
        <f>HLOOKUP(R22,$W$9:$AL$22,$U$20,FALSE)</f>
        <v>139</v>
      </c>
      <c r="Q22" s="53">
        <f>HLOOKUP(R22,$W$9:$AL$22,$U$22,FALSE)</f>
        <v>1533</v>
      </c>
      <c r="R22" s="51" t="s">
        <v>66</v>
      </c>
      <c r="S22" s="27"/>
      <c r="T22" s="58"/>
      <c r="U22" s="37">
        <v>14</v>
      </c>
      <c r="V22" s="66" t="s">
        <v>0</v>
      </c>
      <c r="W22" s="67">
        <f>SUM(W10:W21)</f>
        <v>1679</v>
      </c>
      <c r="X22" s="68">
        <f>SUM(X10:X21)</f>
        <v>2767</v>
      </c>
      <c r="Y22" s="67">
        <f>SUM(Y10:Y21)</f>
        <v>86</v>
      </c>
      <c r="Z22" s="69">
        <f t="shared" ref="Z22:AL22" si="3">SUM(Z10:Z21)</f>
        <v>501</v>
      </c>
      <c r="AA22" s="67">
        <f>SUM(AA10:AA21)</f>
        <v>1008</v>
      </c>
      <c r="AB22" s="68">
        <f>SUM(AB10:AB21)</f>
        <v>2590</v>
      </c>
      <c r="AC22" s="67">
        <f>SUM(AC10:AC21)</f>
        <v>1111</v>
      </c>
      <c r="AD22" s="69">
        <f t="shared" si="3"/>
        <v>291</v>
      </c>
      <c r="AE22" s="67">
        <f>SUM(AE10:AE21)</f>
        <v>67</v>
      </c>
      <c r="AF22" s="68">
        <f>SUM(AF10:AF21)</f>
        <v>282</v>
      </c>
      <c r="AG22" s="67">
        <f t="shared" si="3"/>
        <v>588</v>
      </c>
      <c r="AH22" s="69">
        <f t="shared" si="3"/>
        <v>0</v>
      </c>
      <c r="AI22" s="67">
        <f>SUM(AI10:AI21)</f>
        <v>1398</v>
      </c>
      <c r="AJ22" s="68">
        <f>SUM(AJ10:AJ21)</f>
        <v>137</v>
      </c>
      <c r="AK22" s="67">
        <f>SUM(AK10:AK21)</f>
        <v>1533</v>
      </c>
      <c r="AL22" s="69">
        <f t="shared" si="3"/>
        <v>0</v>
      </c>
      <c r="AM22" s="70">
        <f>SUM(AM10:AM21)</f>
        <v>14033</v>
      </c>
      <c r="AN22" s="25"/>
    </row>
    <row r="23" spans="2:40" ht="15" customHeight="1">
      <c r="B23" s="26"/>
      <c r="C23" s="49"/>
      <c r="D23" s="27"/>
      <c r="E23" s="27"/>
      <c r="F23" s="27"/>
      <c r="G23" s="27"/>
      <c r="H23" s="27"/>
      <c r="I23" s="27"/>
      <c r="J23" s="71"/>
      <c r="K23" s="27"/>
      <c r="L23" s="65"/>
      <c r="M23" s="27"/>
      <c r="N23" s="27"/>
      <c r="O23" s="56">
        <f t="shared" ref="O23:O24" si="4">HLOOKUP(R23,$W$9:$AL$22,$U$11,FALSE)</f>
        <v>10</v>
      </c>
      <c r="P23" s="55">
        <f>HLOOKUP(R23,$W$9:$AL$22,$U$20,FALSE)</f>
        <v>17</v>
      </c>
      <c r="Q23" s="53">
        <f>HLOOKUP(R23,$W$9:$AL$22,$U$22,FALSE)</f>
        <v>137</v>
      </c>
      <c r="R23" s="51" t="s">
        <v>65</v>
      </c>
      <c r="S23" s="27"/>
      <c r="T23" s="54"/>
      <c r="U23" s="72"/>
      <c r="V23" s="72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72"/>
      <c r="AJ23" s="27"/>
      <c r="AK23" s="27"/>
      <c r="AL23" s="27"/>
      <c r="AM23" s="27"/>
      <c r="AN23" s="58"/>
    </row>
    <row r="24" spans="2:40" ht="15" customHeight="1">
      <c r="B24" s="26"/>
      <c r="C24" s="26"/>
      <c r="D24" s="27" t="s">
        <v>49</v>
      </c>
      <c r="E24" s="27"/>
      <c r="F24" s="28"/>
      <c r="G24" s="28"/>
      <c r="H24" s="27"/>
      <c r="I24" s="27"/>
      <c r="J24" s="71"/>
      <c r="K24" s="27"/>
      <c r="L24" s="28"/>
      <c r="M24" s="27"/>
      <c r="N24" s="27"/>
      <c r="O24" s="56">
        <f t="shared" si="4"/>
        <v>124</v>
      </c>
      <c r="P24" s="55">
        <f>HLOOKUP(R24,$W$9:$AL$22,$U$20,FALSE)</f>
        <v>107</v>
      </c>
      <c r="Q24" s="53">
        <f>HLOOKUP(R24,$W$9:$AL$22,$U$22,FALSE)</f>
        <v>1398</v>
      </c>
      <c r="R24" s="51" t="s">
        <v>64</v>
      </c>
      <c r="S24" s="27"/>
      <c r="T24" s="62"/>
      <c r="U24" s="72"/>
      <c r="V24" s="27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27"/>
      <c r="AJ24" s="27"/>
      <c r="AK24" s="27"/>
      <c r="AL24" s="27"/>
      <c r="AM24" s="27"/>
      <c r="AN24" s="58"/>
    </row>
    <row r="25" spans="2:40" ht="15" customHeight="1" thickBot="1">
      <c r="B25" s="73"/>
      <c r="C25" s="26"/>
      <c r="E25" s="34"/>
      <c r="F25" s="28"/>
      <c r="G25" s="28"/>
      <c r="H25" s="27"/>
      <c r="I25" s="27"/>
      <c r="J25" s="71"/>
      <c r="K25" s="27"/>
      <c r="L25" s="27"/>
      <c r="M25" s="28"/>
      <c r="N25" s="28"/>
      <c r="O25" s="28"/>
      <c r="P25" s="74"/>
      <c r="Q25" s="74"/>
      <c r="R25" s="27"/>
      <c r="S25" s="75"/>
      <c r="T25" s="36"/>
      <c r="U25" s="33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58"/>
    </row>
    <row r="26" spans="2:40" ht="15" customHeight="1" thickBot="1">
      <c r="B26" s="42"/>
      <c r="C26" s="26"/>
      <c r="D26" s="76" t="s">
        <v>51</v>
      </c>
      <c r="E26" s="34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77"/>
      <c r="T26" s="36"/>
      <c r="U26" s="33"/>
      <c r="V26" s="148" t="s">
        <v>24</v>
      </c>
      <c r="W26" s="130" t="s">
        <v>38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2"/>
      <c r="AK26" s="27"/>
      <c r="AL26" s="27"/>
      <c r="AM26" s="27"/>
      <c r="AN26" s="58"/>
    </row>
    <row r="27" spans="2:40" ht="15" customHeight="1" thickBot="1">
      <c r="B27" s="42"/>
      <c r="C27" s="78"/>
      <c r="E27" s="27"/>
      <c r="F27" s="27"/>
      <c r="G27" s="27"/>
      <c r="H27" s="27"/>
      <c r="I27" s="27"/>
      <c r="J27" s="56">
        <f>HLOOKUP(J30,$W$9:$AL$22,$U$11,FALSE)</f>
        <v>162</v>
      </c>
      <c r="K27" s="56">
        <f t="shared" ref="K27:M27" si="5">HLOOKUP(K30,$W$9:$AL$22,$U$11,FALSE)</f>
        <v>234</v>
      </c>
      <c r="L27" s="56">
        <f t="shared" si="5"/>
        <v>8</v>
      </c>
      <c r="M27" s="56">
        <f t="shared" si="5"/>
        <v>38</v>
      </c>
      <c r="N27" s="27"/>
      <c r="O27" s="27"/>
      <c r="P27" s="27"/>
      <c r="Q27" s="27"/>
      <c r="R27" s="27"/>
      <c r="S27" s="35"/>
      <c r="T27" s="36"/>
      <c r="U27" s="33"/>
      <c r="V27" s="149"/>
      <c r="W27" s="39" t="s">
        <v>39</v>
      </c>
      <c r="X27" s="38" t="s">
        <v>40</v>
      </c>
      <c r="Y27" s="79" t="s">
        <v>14</v>
      </c>
      <c r="Z27" s="38" t="s">
        <v>1</v>
      </c>
      <c r="AA27" s="38" t="s">
        <v>15</v>
      </c>
      <c r="AB27" s="38" t="s">
        <v>16</v>
      </c>
      <c r="AC27" s="38" t="s">
        <v>7</v>
      </c>
      <c r="AD27" s="38" t="s">
        <v>8</v>
      </c>
      <c r="AE27" s="38" t="s">
        <v>2</v>
      </c>
      <c r="AF27" s="38" t="s">
        <v>9</v>
      </c>
      <c r="AG27" s="38" t="s">
        <v>3</v>
      </c>
      <c r="AH27" s="38" t="s">
        <v>4</v>
      </c>
      <c r="AI27" s="38" t="s">
        <v>5</v>
      </c>
      <c r="AJ27" s="80" t="s">
        <v>6</v>
      </c>
      <c r="AK27" s="27"/>
      <c r="AL27" s="27"/>
      <c r="AM27" s="27"/>
      <c r="AN27" s="58"/>
    </row>
    <row r="28" spans="2:40" ht="15" customHeight="1">
      <c r="B28" s="42"/>
      <c r="C28" s="26"/>
      <c r="D28" s="27"/>
      <c r="E28" s="27"/>
      <c r="F28" s="27"/>
      <c r="G28" s="27"/>
      <c r="H28" s="27"/>
      <c r="I28" s="27"/>
      <c r="J28" s="55">
        <f>HLOOKUP(J30,$W$9:$AL$22,$U$20,FALSE)</f>
        <v>160</v>
      </c>
      <c r="K28" s="55">
        <f>HLOOKUP(K30,$W$9:$AL$22,$U$20,FALSE)</f>
        <v>290</v>
      </c>
      <c r="L28" s="55">
        <f>HLOOKUP(L30,$W$9:$AL$22,$U$20,FALSE)</f>
        <v>8</v>
      </c>
      <c r="M28" s="55">
        <f>HLOOKUP(M30,$W$9:$AL$22,$U$20,FALSE)</f>
        <v>42</v>
      </c>
      <c r="N28" s="27"/>
      <c r="O28" s="27"/>
      <c r="P28" s="27"/>
      <c r="Q28" s="27"/>
      <c r="R28" s="27"/>
      <c r="S28" s="35"/>
      <c r="T28" s="36"/>
      <c r="U28" s="81"/>
      <c r="V28" s="45" t="s">
        <v>26</v>
      </c>
      <c r="W28" s="46">
        <f>AM10</f>
        <v>1171</v>
      </c>
      <c r="X28" s="46"/>
      <c r="Y28" s="82"/>
      <c r="Z28" s="83"/>
      <c r="AA28" s="83"/>
      <c r="AB28" s="83"/>
      <c r="AC28" s="83"/>
      <c r="AD28" s="83"/>
      <c r="AE28" s="83"/>
      <c r="AF28" s="84"/>
      <c r="AG28" s="83"/>
      <c r="AH28" s="83"/>
      <c r="AI28" s="83"/>
      <c r="AJ28" s="85"/>
      <c r="AK28" s="27"/>
      <c r="AL28" s="27"/>
      <c r="AM28" s="27"/>
      <c r="AN28" s="58"/>
    </row>
    <row r="29" spans="2:40" ht="15" customHeight="1">
      <c r="B29" s="26"/>
      <c r="C29" s="26"/>
      <c r="D29" s="27"/>
      <c r="E29" s="27"/>
      <c r="F29" s="27"/>
      <c r="G29" s="27"/>
      <c r="H29" s="27"/>
      <c r="I29" s="27"/>
      <c r="J29" s="53">
        <f>HLOOKUP(J30,$W$9:$AL$22,$U$22,FALSE)</f>
        <v>1679</v>
      </c>
      <c r="K29" s="53">
        <f>HLOOKUP(K30,$W$9:$AL$22,$U$22,FALSE)</f>
        <v>2767</v>
      </c>
      <c r="L29" s="53">
        <f>HLOOKUP(L30,$W$9:$AL$22,$U$22,FALSE)</f>
        <v>86</v>
      </c>
      <c r="M29" s="53">
        <f>HLOOKUP(M30,$W$9:$AL$22,$U$22,FALSE)</f>
        <v>501</v>
      </c>
      <c r="N29" s="27"/>
      <c r="O29" s="27"/>
      <c r="P29" s="27"/>
      <c r="Q29" s="27"/>
      <c r="R29" s="27"/>
      <c r="S29" s="35"/>
      <c r="T29" s="58"/>
      <c r="U29" s="26"/>
      <c r="V29" s="45" t="s">
        <v>27</v>
      </c>
      <c r="W29" s="46">
        <f t="shared" ref="W29:W39" si="6">AM11</f>
        <v>1238</v>
      </c>
      <c r="X29" s="46"/>
      <c r="Y29" s="82"/>
      <c r="Z29" s="83"/>
      <c r="AA29" s="83"/>
      <c r="AB29" s="83"/>
      <c r="AC29" s="83"/>
      <c r="AD29" s="83"/>
      <c r="AE29" s="83"/>
      <c r="AF29" s="84"/>
      <c r="AG29" s="83"/>
      <c r="AH29" s="83"/>
      <c r="AI29" s="83"/>
      <c r="AJ29" s="85"/>
      <c r="AK29" s="27"/>
      <c r="AL29" s="27"/>
      <c r="AM29" s="27"/>
      <c r="AN29" s="58"/>
    </row>
    <row r="30" spans="2:40" ht="15" customHeight="1">
      <c r="B30" s="26"/>
      <c r="C30" s="26"/>
      <c r="D30" s="157" t="s">
        <v>41</v>
      </c>
      <c r="E30" s="157"/>
      <c r="F30" s="86">
        <f>SUM(G19:G22,J16:M16,O21:O24,J27:M27)</f>
        <v>1238</v>
      </c>
      <c r="G30" s="87"/>
      <c r="H30" s="27"/>
      <c r="I30" s="27"/>
      <c r="J30" s="51" t="s">
        <v>55</v>
      </c>
      <c r="K30" s="51" t="s">
        <v>56</v>
      </c>
      <c r="L30" s="51" t="s">
        <v>57</v>
      </c>
      <c r="M30" s="51" t="s">
        <v>10</v>
      </c>
      <c r="N30" s="28"/>
      <c r="O30" s="27"/>
      <c r="P30" s="74"/>
      <c r="Q30" s="74"/>
      <c r="R30" s="27"/>
      <c r="S30" s="35"/>
      <c r="T30" s="58"/>
      <c r="U30" s="27"/>
      <c r="V30" s="45" t="s">
        <v>28</v>
      </c>
      <c r="W30" s="46">
        <f t="shared" si="6"/>
        <v>1046</v>
      </c>
      <c r="X30" s="46"/>
      <c r="Y30" s="82"/>
      <c r="Z30" s="83"/>
      <c r="AA30" s="83"/>
      <c r="AB30" s="83"/>
      <c r="AC30" s="83"/>
      <c r="AD30" s="83"/>
      <c r="AE30" s="83"/>
      <c r="AF30" s="84"/>
      <c r="AG30" s="83"/>
      <c r="AH30" s="83"/>
      <c r="AI30" s="83"/>
      <c r="AJ30" s="85"/>
      <c r="AK30" s="27"/>
      <c r="AL30" s="27"/>
      <c r="AM30" s="27"/>
      <c r="AN30" s="58"/>
    </row>
    <row r="31" spans="2:40" ht="15" customHeight="1">
      <c r="B31" s="42"/>
      <c r="C31" s="26"/>
      <c r="D31" s="158" t="s">
        <v>42</v>
      </c>
      <c r="E31" s="158"/>
      <c r="F31" s="55">
        <f>SUM(J15:M15,F19:F22,J28:M28,P21:P24)</f>
        <v>1312</v>
      </c>
      <c r="G31" s="8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36"/>
      <c r="U31" s="81"/>
      <c r="V31" s="45" t="s">
        <v>29</v>
      </c>
      <c r="W31" s="46">
        <f t="shared" si="6"/>
        <v>1097</v>
      </c>
      <c r="X31" s="46"/>
      <c r="Y31" s="82"/>
      <c r="Z31" s="83"/>
      <c r="AA31" s="83"/>
      <c r="AB31" s="83"/>
      <c r="AC31" s="83"/>
      <c r="AD31" s="83"/>
      <c r="AE31" s="83"/>
      <c r="AF31" s="84"/>
      <c r="AG31" s="83"/>
      <c r="AH31" s="83"/>
      <c r="AI31" s="83"/>
      <c r="AJ31" s="85"/>
      <c r="AK31" s="27"/>
      <c r="AL31" s="27"/>
      <c r="AM31" s="27"/>
      <c r="AN31" s="58"/>
    </row>
    <row r="32" spans="2:40" ht="15" customHeight="1">
      <c r="B32" s="42"/>
      <c r="C32" s="26"/>
      <c r="D32" s="159" t="s">
        <v>43</v>
      </c>
      <c r="E32" s="159"/>
      <c r="F32" s="53">
        <f>SUM(J14:M14,E19:E22,J29:M29,Q21:Q24)</f>
        <v>14038</v>
      </c>
      <c r="G32" s="27"/>
      <c r="H32" s="27"/>
      <c r="I32" s="27"/>
      <c r="J32" s="27"/>
      <c r="K32" s="27" t="s">
        <v>50</v>
      </c>
      <c r="L32" s="27"/>
      <c r="M32" s="27"/>
      <c r="N32" s="129"/>
      <c r="O32" s="27" t="s">
        <v>53</v>
      </c>
      <c r="P32" s="34"/>
      <c r="Q32" s="27"/>
      <c r="R32" s="27"/>
      <c r="S32" s="27"/>
      <c r="T32" s="36"/>
      <c r="U32" s="33"/>
      <c r="V32" s="88" t="s">
        <v>30</v>
      </c>
      <c r="W32" s="46">
        <f t="shared" si="6"/>
        <v>1146</v>
      </c>
      <c r="X32" s="46"/>
      <c r="Y32" s="89"/>
      <c r="Z32" s="90"/>
      <c r="AA32" s="90"/>
      <c r="AB32" s="90"/>
      <c r="AC32" s="90"/>
      <c r="AD32" s="90"/>
      <c r="AE32" s="90"/>
      <c r="AF32" s="91"/>
      <c r="AG32" s="90"/>
      <c r="AH32" s="90"/>
      <c r="AI32" s="90"/>
      <c r="AJ32" s="92"/>
      <c r="AK32" s="27"/>
      <c r="AL32" s="27"/>
      <c r="AM32" s="27"/>
      <c r="AN32" s="58"/>
    </row>
    <row r="33" spans="2:53" ht="15" customHeight="1">
      <c r="B33" s="26"/>
      <c r="C33" s="42"/>
      <c r="D33" s="152" t="s">
        <v>44</v>
      </c>
      <c r="E33" s="152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93"/>
      <c r="U33" s="94"/>
      <c r="V33" s="45" t="s">
        <v>31</v>
      </c>
      <c r="W33" s="46">
        <f t="shared" si="6"/>
        <v>1218</v>
      </c>
      <c r="X33" s="46"/>
      <c r="Y33" s="82"/>
      <c r="Z33" s="83"/>
      <c r="AA33" s="83"/>
      <c r="AB33" s="83"/>
      <c r="AC33" s="83"/>
      <c r="AD33" s="83"/>
      <c r="AE33" s="83"/>
      <c r="AF33" s="84"/>
      <c r="AG33" s="83"/>
      <c r="AH33" s="83"/>
      <c r="AI33" s="83"/>
      <c r="AJ33" s="85"/>
      <c r="AK33" s="27"/>
      <c r="AL33" s="27"/>
      <c r="AM33" s="27"/>
      <c r="AN33" s="58"/>
    </row>
    <row r="34" spans="2:53" ht="15" customHeight="1">
      <c r="B34" s="26"/>
      <c r="C34" s="26"/>
      <c r="D34" s="2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95"/>
      <c r="T34" s="93"/>
      <c r="U34" s="94"/>
      <c r="V34" s="45" t="s">
        <v>32</v>
      </c>
      <c r="W34" s="46">
        <f t="shared" si="6"/>
        <v>1099</v>
      </c>
      <c r="X34" s="46"/>
      <c r="Y34" s="82"/>
      <c r="Z34" s="83"/>
      <c r="AA34" s="83"/>
      <c r="AB34" s="83"/>
      <c r="AC34" s="83"/>
      <c r="AD34" s="83"/>
      <c r="AE34" s="83"/>
      <c r="AF34" s="84"/>
      <c r="AG34" s="83"/>
      <c r="AH34" s="83"/>
      <c r="AI34" s="83"/>
      <c r="AJ34" s="85"/>
      <c r="AK34" s="27"/>
      <c r="AL34" s="27"/>
      <c r="AM34" s="27"/>
      <c r="AN34" s="58"/>
    </row>
    <row r="35" spans="2:53" ht="15" customHeight="1">
      <c r="B35" s="26"/>
      <c r="C35" s="26"/>
      <c r="D35" s="27"/>
      <c r="E35" s="153" t="s">
        <v>45</v>
      </c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27"/>
      <c r="T35" s="58"/>
      <c r="U35" s="27"/>
      <c r="V35" s="45" t="s">
        <v>33</v>
      </c>
      <c r="W35" s="46">
        <f t="shared" si="6"/>
        <v>1146</v>
      </c>
      <c r="X35" s="46"/>
      <c r="Y35" s="82"/>
      <c r="Z35" s="83"/>
      <c r="AA35" s="83"/>
      <c r="AB35" s="83"/>
      <c r="AC35" s="83"/>
      <c r="AD35" s="83"/>
      <c r="AE35" s="83"/>
      <c r="AF35" s="84"/>
      <c r="AG35" s="83"/>
      <c r="AH35" s="83"/>
      <c r="AI35" s="83"/>
      <c r="AJ35" s="85"/>
      <c r="AK35" s="27"/>
      <c r="AL35" s="27"/>
      <c r="AM35" s="27"/>
      <c r="AN35" s="58"/>
    </row>
    <row r="36" spans="2:53" ht="15" customHeight="1" thickBot="1">
      <c r="B36" s="42"/>
      <c r="C36" s="98"/>
      <c r="D36" s="99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00"/>
      <c r="T36" s="101"/>
      <c r="U36" s="33"/>
      <c r="V36" s="88" t="s">
        <v>34</v>
      </c>
      <c r="W36" s="46">
        <f t="shared" si="6"/>
        <v>1256</v>
      </c>
      <c r="X36" s="46"/>
      <c r="Y36" s="89"/>
      <c r="Z36" s="90"/>
      <c r="AA36" s="90"/>
      <c r="AB36" s="90"/>
      <c r="AC36" s="90"/>
      <c r="AD36" s="90"/>
      <c r="AE36" s="90"/>
      <c r="AF36" s="91"/>
      <c r="AG36" s="90"/>
      <c r="AH36" s="90"/>
      <c r="AI36" s="90"/>
      <c r="AJ36" s="92"/>
      <c r="AK36" s="27"/>
      <c r="AL36" s="27"/>
      <c r="AM36" s="27"/>
      <c r="AN36" s="58"/>
    </row>
    <row r="37" spans="2:53" ht="15" customHeight="1"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45" t="s">
        <v>35</v>
      </c>
      <c r="W37" s="46">
        <f t="shared" si="6"/>
        <v>1243</v>
      </c>
      <c r="X37" s="46"/>
      <c r="Y37" s="82"/>
      <c r="Z37" s="83"/>
      <c r="AA37" s="83"/>
      <c r="AB37" s="83"/>
      <c r="AC37" s="83"/>
      <c r="AD37" s="83"/>
      <c r="AE37" s="83"/>
      <c r="AF37" s="84"/>
      <c r="AG37" s="83"/>
      <c r="AH37" s="83"/>
      <c r="AI37" s="83"/>
      <c r="AJ37" s="85"/>
      <c r="AK37" s="27"/>
      <c r="AL37" s="27"/>
      <c r="AM37" s="27"/>
      <c r="AN37" s="58"/>
    </row>
    <row r="38" spans="2:53" ht="15" customHeight="1"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45" t="s">
        <v>36</v>
      </c>
      <c r="W38" s="46">
        <f t="shared" si="6"/>
        <v>1311</v>
      </c>
      <c r="X38" s="46"/>
      <c r="Y38" s="82"/>
      <c r="Z38" s="83"/>
      <c r="AA38" s="83"/>
      <c r="AB38" s="83"/>
      <c r="AC38" s="83"/>
      <c r="AD38" s="83"/>
      <c r="AE38" s="83"/>
      <c r="AF38" s="84"/>
      <c r="AG38" s="83"/>
      <c r="AH38" s="83"/>
      <c r="AI38" s="83"/>
      <c r="AJ38" s="85"/>
      <c r="AK38" s="27"/>
      <c r="AL38" s="27"/>
      <c r="AM38" s="27"/>
      <c r="AN38" s="58"/>
      <c r="AP38" s="127">
        <f t="shared" ref="AP38:BA38" si="7">Y40</f>
        <v>0</v>
      </c>
      <c r="AQ38" s="127">
        <f t="shared" si="7"/>
        <v>0</v>
      </c>
      <c r="AR38" s="127">
        <f t="shared" si="7"/>
        <v>0</v>
      </c>
      <c r="AS38" s="127">
        <f t="shared" si="7"/>
        <v>0</v>
      </c>
      <c r="AT38" s="127">
        <f t="shared" si="7"/>
        <v>0</v>
      </c>
      <c r="AU38" s="127">
        <f t="shared" si="7"/>
        <v>0</v>
      </c>
      <c r="AV38" s="127">
        <f t="shared" si="7"/>
        <v>0</v>
      </c>
      <c r="AW38" s="127">
        <f t="shared" si="7"/>
        <v>0</v>
      </c>
      <c r="AX38" s="127">
        <f t="shared" si="7"/>
        <v>0</v>
      </c>
      <c r="AY38" s="127">
        <f t="shared" si="7"/>
        <v>0</v>
      </c>
      <c r="AZ38" s="127">
        <f t="shared" si="7"/>
        <v>0</v>
      </c>
      <c r="BA38" s="127">
        <f t="shared" si="7"/>
        <v>0</v>
      </c>
    </row>
    <row r="39" spans="2:53" ht="15" customHeight="1" thickBot="1"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88" t="s">
        <v>37</v>
      </c>
      <c r="W39" s="46">
        <f t="shared" si="6"/>
        <v>1062</v>
      </c>
      <c r="X39" s="46"/>
      <c r="Y39" s="89"/>
      <c r="Z39" s="90"/>
      <c r="AA39" s="90"/>
      <c r="AB39" s="90"/>
      <c r="AC39" s="90"/>
      <c r="AD39" s="90"/>
      <c r="AE39" s="90"/>
      <c r="AF39" s="91"/>
      <c r="AG39" s="90"/>
      <c r="AH39" s="90"/>
      <c r="AI39" s="90"/>
      <c r="AJ39" s="92"/>
      <c r="AK39" s="27"/>
      <c r="AL39" s="27"/>
      <c r="AM39" s="27"/>
      <c r="AN39" s="58"/>
      <c r="AP39" s="2" t="s">
        <v>14</v>
      </c>
      <c r="AQ39" s="2" t="s">
        <v>1</v>
      </c>
      <c r="AR39" s="2" t="s">
        <v>15</v>
      </c>
      <c r="AS39" s="2" t="s">
        <v>16</v>
      </c>
      <c r="AT39" s="2" t="s">
        <v>7</v>
      </c>
      <c r="AU39" s="2" t="s">
        <v>8</v>
      </c>
      <c r="AV39" s="2" t="s">
        <v>2</v>
      </c>
      <c r="AW39" s="2" t="s">
        <v>9</v>
      </c>
      <c r="AX39" s="2" t="s">
        <v>3</v>
      </c>
      <c r="AY39" s="2" t="s">
        <v>4</v>
      </c>
      <c r="AZ39" s="2" t="s">
        <v>5</v>
      </c>
      <c r="BA39" s="2" t="s">
        <v>6</v>
      </c>
    </row>
    <row r="40" spans="2:53" ht="15" customHeight="1" thickBot="1"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102" t="s">
        <v>0</v>
      </c>
      <c r="W40" s="68">
        <f t="shared" ref="W40:AJ40" si="8">SUM(W28:W39)</f>
        <v>14033</v>
      </c>
      <c r="X40" s="67">
        <f t="shared" si="8"/>
        <v>0</v>
      </c>
      <c r="Y40" s="103">
        <f t="shared" si="8"/>
        <v>0</v>
      </c>
      <c r="Z40" s="67">
        <f t="shared" si="8"/>
        <v>0</v>
      </c>
      <c r="AA40" s="67">
        <f t="shared" si="8"/>
        <v>0</v>
      </c>
      <c r="AB40" s="67">
        <f t="shared" si="8"/>
        <v>0</v>
      </c>
      <c r="AC40" s="67">
        <f t="shared" si="8"/>
        <v>0</v>
      </c>
      <c r="AD40" s="67">
        <f t="shared" si="8"/>
        <v>0</v>
      </c>
      <c r="AE40" s="67">
        <f t="shared" si="8"/>
        <v>0</v>
      </c>
      <c r="AF40" s="67">
        <f t="shared" si="8"/>
        <v>0</v>
      </c>
      <c r="AG40" s="104">
        <f t="shared" si="8"/>
        <v>0</v>
      </c>
      <c r="AH40" s="104">
        <f t="shared" si="8"/>
        <v>0</v>
      </c>
      <c r="AI40" s="104">
        <f t="shared" si="8"/>
        <v>0</v>
      </c>
      <c r="AJ40" s="69">
        <f t="shared" si="8"/>
        <v>0</v>
      </c>
      <c r="AK40" s="27"/>
      <c r="AL40" s="27"/>
      <c r="AM40" s="27"/>
      <c r="AN40" s="58"/>
      <c r="AP40" s="128">
        <f>IFERROR(AP38/SUM($AP$38:$BA$38),0)</f>
        <v>0</v>
      </c>
      <c r="AQ40" s="128">
        <f t="shared" ref="AQ40:BA40" si="9">IFERROR(AQ38/SUM($AP$38:$BA$38),0)</f>
        <v>0</v>
      </c>
      <c r="AR40" s="128">
        <f t="shared" si="9"/>
        <v>0</v>
      </c>
      <c r="AS40" s="128">
        <f t="shared" si="9"/>
        <v>0</v>
      </c>
      <c r="AT40" s="128">
        <f t="shared" si="9"/>
        <v>0</v>
      </c>
      <c r="AU40" s="128">
        <f t="shared" si="9"/>
        <v>0</v>
      </c>
      <c r="AV40" s="128">
        <f t="shared" si="9"/>
        <v>0</v>
      </c>
      <c r="AW40" s="128">
        <f t="shared" si="9"/>
        <v>0</v>
      </c>
      <c r="AX40" s="128">
        <f t="shared" si="9"/>
        <v>0</v>
      </c>
      <c r="AY40" s="128">
        <f t="shared" si="9"/>
        <v>0</v>
      </c>
      <c r="AZ40" s="128">
        <f t="shared" si="9"/>
        <v>0</v>
      </c>
      <c r="BA40" s="128">
        <f t="shared" si="9"/>
        <v>0</v>
      </c>
    </row>
    <row r="41" spans="2:53" ht="15" customHeight="1"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105"/>
      <c r="X41" s="106"/>
      <c r="Y41" s="107"/>
      <c r="Z41" s="108"/>
      <c r="AA41" s="108"/>
      <c r="AB41" s="108"/>
      <c r="AC41" s="108"/>
      <c r="AD41" s="108"/>
      <c r="AE41" s="108"/>
      <c r="AF41" s="108"/>
      <c r="AG41" s="27"/>
      <c r="AH41" s="27"/>
      <c r="AI41" s="27"/>
      <c r="AJ41" s="27"/>
      <c r="AK41" s="27"/>
      <c r="AL41" s="27"/>
      <c r="AM41" s="27"/>
      <c r="AN41" s="58"/>
    </row>
    <row r="42" spans="2:53" ht="15" customHeight="1"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58"/>
    </row>
    <row r="43" spans="2:53" ht="15" customHeight="1"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58"/>
    </row>
    <row r="44" spans="2:53" ht="15" customHeight="1"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58"/>
    </row>
    <row r="45" spans="2:53" ht="15" customHeight="1">
      <c r="B45" s="26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105"/>
      <c r="X45" s="106"/>
      <c r="Y45" s="107"/>
      <c r="Z45" s="108"/>
      <c r="AA45" s="108"/>
      <c r="AB45" s="108"/>
      <c r="AC45" s="108"/>
      <c r="AD45" s="108"/>
      <c r="AE45" s="108"/>
      <c r="AF45" s="108"/>
      <c r="AG45" s="27"/>
      <c r="AH45" s="27"/>
      <c r="AI45" s="27"/>
      <c r="AJ45" s="27"/>
      <c r="AK45" s="27"/>
      <c r="AL45" s="27"/>
      <c r="AM45" s="27"/>
      <c r="AN45" s="58"/>
    </row>
    <row r="46" spans="2:53" ht="15" customHeight="1"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58"/>
    </row>
    <row r="47" spans="2:53" ht="15" customHeight="1">
      <c r="B47" s="26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58"/>
    </row>
    <row r="48" spans="2:53" ht="15" customHeight="1">
      <c r="B48" s="26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58"/>
    </row>
    <row r="49" spans="2:40" ht="15" customHeight="1"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58"/>
    </row>
    <row r="50" spans="2:40" ht="15" customHeight="1">
      <c r="B50" s="26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58"/>
    </row>
    <row r="51" spans="2:40" ht="15" customHeight="1"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58"/>
    </row>
    <row r="52" spans="2:40" ht="15" customHeight="1">
      <c r="B52" s="26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58"/>
    </row>
    <row r="53" spans="2:40" ht="15" customHeight="1">
      <c r="B53" s="26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109"/>
      <c r="AH53" s="109"/>
      <c r="AI53" s="109"/>
      <c r="AJ53" s="27"/>
      <c r="AK53" s="27"/>
      <c r="AL53" s="27"/>
      <c r="AM53" s="27"/>
      <c r="AN53" s="58"/>
    </row>
    <row r="54" spans="2:40" ht="15" customHeight="1">
      <c r="B54" s="26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109"/>
      <c r="AH54" s="109"/>
      <c r="AI54" s="109"/>
      <c r="AJ54" s="110"/>
      <c r="AK54" s="27"/>
      <c r="AL54" s="27"/>
      <c r="AM54" s="27"/>
      <c r="AN54" s="58"/>
    </row>
    <row r="55" spans="2:40" ht="15" customHeight="1">
      <c r="B55" s="26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109"/>
      <c r="AH55" s="27"/>
      <c r="AI55" s="27"/>
      <c r="AJ55" s="27"/>
      <c r="AK55" s="27"/>
      <c r="AL55" s="27"/>
      <c r="AM55" s="27"/>
      <c r="AN55" s="58"/>
    </row>
    <row r="56" spans="2:40" ht="15" customHeight="1">
      <c r="B56" s="26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58"/>
    </row>
    <row r="57" spans="2:40" ht="15" customHeight="1">
      <c r="B57" s="26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58"/>
    </row>
    <row r="58" spans="2:40" ht="15" customHeight="1">
      <c r="B58" s="26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94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27"/>
      <c r="AH58" s="27"/>
      <c r="AI58" s="27"/>
      <c r="AJ58" s="27"/>
      <c r="AK58" s="27"/>
      <c r="AL58" s="27"/>
      <c r="AM58" s="27"/>
      <c r="AN58" s="58"/>
    </row>
    <row r="59" spans="2:40" ht="15" customHeight="1">
      <c r="B59" s="26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33"/>
      <c r="AA59" s="27"/>
      <c r="AB59" s="27"/>
      <c r="AC59" s="27"/>
      <c r="AD59" s="27"/>
      <c r="AE59" s="27"/>
      <c r="AF59" s="27"/>
      <c r="AG59" s="111"/>
      <c r="AH59" s="111"/>
      <c r="AI59" s="27"/>
      <c r="AJ59" s="27"/>
      <c r="AK59" s="27"/>
      <c r="AL59" s="27"/>
      <c r="AM59" s="27"/>
      <c r="AN59" s="58"/>
    </row>
    <row r="60" spans="2:40" ht="15" customHeight="1">
      <c r="B60" s="26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33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58"/>
    </row>
    <row r="61" spans="2:40" ht="15" customHeight="1">
      <c r="B61" s="155" t="s">
        <v>46</v>
      </c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27"/>
      <c r="W61" s="112"/>
      <c r="X61" s="97"/>
      <c r="Y61" s="97"/>
      <c r="Z61" s="112"/>
      <c r="AA61" s="112"/>
      <c r="AB61" s="27"/>
      <c r="AC61" s="111"/>
      <c r="AD61" s="111"/>
      <c r="AE61" s="111"/>
      <c r="AF61" s="110"/>
      <c r="AG61" s="110"/>
      <c r="AH61" s="27"/>
      <c r="AI61" s="27"/>
      <c r="AJ61" s="27"/>
      <c r="AK61" s="27"/>
      <c r="AL61" s="27"/>
      <c r="AM61" s="27"/>
      <c r="AN61" s="58"/>
    </row>
    <row r="62" spans="2:40" ht="15" customHeight="1">
      <c r="B62" s="155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27"/>
      <c r="W62" s="27"/>
      <c r="X62" s="27"/>
      <c r="Y62" s="110"/>
      <c r="Z62" s="110"/>
      <c r="AA62" s="110"/>
      <c r="AB62" s="111"/>
      <c r="AC62" s="110"/>
      <c r="AD62" s="110"/>
      <c r="AE62" s="110"/>
      <c r="AF62" s="110"/>
      <c r="AG62" s="27"/>
      <c r="AH62" s="27"/>
      <c r="AI62" s="27"/>
      <c r="AJ62" s="27"/>
      <c r="AK62" s="27"/>
      <c r="AL62" s="27"/>
      <c r="AM62" s="27"/>
      <c r="AN62" s="58"/>
    </row>
    <row r="63" spans="2:40" ht="15" customHeight="1" thickBot="1">
      <c r="B63" s="113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5"/>
      <c r="W63" s="116"/>
      <c r="X63" s="116"/>
      <c r="Y63" s="116"/>
      <c r="Z63" s="116"/>
      <c r="AA63" s="115"/>
      <c r="AB63" s="114"/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  <c r="AN63" s="117"/>
    </row>
    <row r="64" spans="2:40" ht="13.5" customHeight="1">
      <c r="W64" s="1"/>
      <c r="X64" s="1"/>
      <c r="Y64" s="1"/>
      <c r="Z64" s="118"/>
    </row>
    <row r="65" spans="2:40" ht="13.5" customHeight="1">
      <c r="B65" s="2" t="s">
        <v>67</v>
      </c>
      <c r="W65" s="1"/>
      <c r="X65" s="96"/>
      <c r="Y65" s="1"/>
      <c r="Z65" s="119"/>
      <c r="AL65" s="5"/>
      <c r="AM65" s="5"/>
      <c r="AN65" s="5"/>
    </row>
    <row r="66" spans="2:40" ht="13.5" customHeight="1">
      <c r="B66" s="2" t="s">
        <v>68</v>
      </c>
      <c r="V66" s="120"/>
      <c r="W66" s="1"/>
      <c r="X66" s="1"/>
      <c r="Y66" s="1"/>
      <c r="Z66" s="1"/>
      <c r="AA66" s="120"/>
      <c r="AB66" s="121"/>
      <c r="AL66" s="5"/>
      <c r="AM66" s="5"/>
      <c r="AN66" s="5"/>
    </row>
    <row r="67" spans="2:40" ht="13.5" customHeight="1"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U67" s="120"/>
      <c r="W67" s="1"/>
      <c r="X67" s="122"/>
      <c r="Y67" s="122"/>
      <c r="Z67" s="118"/>
      <c r="AL67" s="5"/>
      <c r="AM67" s="5"/>
      <c r="AN67" s="5"/>
    </row>
    <row r="68" spans="2:40" ht="13.5" customHeight="1">
      <c r="Z68" s="123"/>
      <c r="AL68" s="5"/>
      <c r="AM68" s="5"/>
      <c r="AN68" s="5"/>
    </row>
    <row r="69" spans="2:40" ht="13.5" customHeight="1">
      <c r="Z69" s="123"/>
      <c r="AL69" s="5"/>
      <c r="AM69" s="5"/>
      <c r="AN69" s="5"/>
    </row>
    <row r="70" spans="2:40" ht="13.5" customHeight="1">
      <c r="B70" s="124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U70" s="120"/>
      <c r="Z70" s="123"/>
    </row>
    <row r="71" spans="2:40" ht="9.75" customHeight="1">
      <c r="V71" s="123"/>
      <c r="W71" s="123"/>
      <c r="Y71" s="123"/>
      <c r="Z71" s="123"/>
    </row>
    <row r="72" spans="2:40" ht="13.5" customHeight="1">
      <c r="V72" s="123"/>
      <c r="W72" s="123"/>
      <c r="Y72" s="123"/>
      <c r="Z72" s="123"/>
    </row>
    <row r="73" spans="2:40" ht="13.5" customHeight="1">
      <c r="V73" s="123"/>
      <c r="W73" s="123"/>
      <c r="Y73" s="123"/>
      <c r="Z73" s="123"/>
    </row>
    <row r="74" spans="2:40" ht="13.5" customHeight="1">
      <c r="V74" s="123"/>
      <c r="W74" s="123"/>
      <c r="Y74" s="123"/>
      <c r="Z74" s="123"/>
    </row>
    <row r="75" spans="2:40" ht="13.5" customHeight="1">
      <c r="D75" s="5"/>
      <c r="E75" s="5"/>
      <c r="F75" s="5"/>
      <c r="G75" s="5"/>
      <c r="H75" s="5"/>
      <c r="I75" s="5"/>
      <c r="N75" s="5"/>
      <c r="O75" s="5"/>
      <c r="P75" s="5"/>
      <c r="Q75" s="5"/>
      <c r="R75" s="5"/>
      <c r="S75" s="5"/>
      <c r="U75" s="123"/>
      <c r="V75" s="123"/>
      <c r="W75" s="123"/>
      <c r="Y75" s="123"/>
      <c r="Z75" s="123"/>
    </row>
    <row r="76" spans="2:40" ht="13.5" customHeight="1">
      <c r="D76" s="5"/>
      <c r="E76" s="5"/>
      <c r="F76" s="5"/>
      <c r="G76" s="5"/>
      <c r="H76" s="5"/>
      <c r="I76" s="5"/>
      <c r="N76" s="5"/>
      <c r="O76" s="5"/>
      <c r="P76" s="5"/>
      <c r="Q76" s="5"/>
      <c r="R76" s="5"/>
      <c r="S76" s="5"/>
      <c r="U76" s="123"/>
      <c r="V76" s="123"/>
      <c r="W76" s="123"/>
      <c r="Y76" s="123"/>
      <c r="Z76" s="123"/>
    </row>
    <row r="77" spans="2:40" ht="13.5" customHeight="1">
      <c r="D77" s="5"/>
      <c r="E77" s="5"/>
      <c r="F77" s="5"/>
      <c r="G77" s="5"/>
      <c r="H77" s="5"/>
      <c r="I77" s="5"/>
      <c r="N77" s="5"/>
      <c r="O77" s="5"/>
      <c r="P77" s="5"/>
      <c r="Q77" s="5"/>
      <c r="R77" s="5"/>
      <c r="S77" s="5"/>
      <c r="U77" s="123"/>
      <c r="V77" s="123"/>
      <c r="W77" s="123"/>
      <c r="Y77" s="123"/>
      <c r="Z77" s="123"/>
    </row>
    <row r="78" spans="2:40" ht="13.5" customHeight="1">
      <c r="D78" s="5"/>
      <c r="E78" s="5"/>
      <c r="F78" s="5"/>
      <c r="G78" s="5"/>
      <c r="H78" s="5"/>
      <c r="I78" s="5"/>
      <c r="N78" s="5"/>
      <c r="O78" s="5"/>
      <c r="P78" s="5"/>
      <c r="Q78" s="5"/>
      <c r="R78" s="5"/>
      <c r="S78" s="5"/>
      <c r="U78" s="123"/>
      <c r="V78" s="123"/>
      <c r="W78" s="123"/>
      <c r="X78" s="123"/>
      <c r="Y78" s="123"/>
      <c r="Z78" s="123"/>
    </row>
    <row r="79" spans="2:40" ht="13.5" customHeight="1">
      <c r="D79" s="5"/>
      <c r="E79" s="5"/>
      <c r="F79" s="5"/>
      <c r="G79" s="5"/>
      <c r="H79" s="5"/>
      <c r="I79" s="5"/>
      <c r="N79" s="5"/>
      <c r="O79" s="5"/>
      <c r="P79" s="5"/>
      <c r="Q79" s="5"/>
      <c r="R79" s="5"/>
      <c r="S79" s="5"/>
      <c r="U79" s="123"/>
      <c r="V79" s="123"/>
      <c r="W79" s="123"/>
      <c r="X79" s="123"/>
      <c r="Y79" s="123"/>
      <c r="Z79" s="123"/>
    </row>
    <row r="80" spans="2:40" ht="13.5" customHeight="1">
      <c r="D80" s="5"/>
      <c r="E80" s="5"/>
      <c r="F80" s="5"/>
      <c r="G80" s="5"/>
      <c r="H80" s="5"/>
      <c r="I80" s="5"/>
      <c r="N80" s="5"/>
      <c r="O80" s="5"/>
      <c r="P80" s="5"/>
      <c r="Q80" s="5"/>
      <c r="R80" s="5"/>
      <c r="S80" s="5"/>
      <c r="U80" s="123"/>
      <c r="V80" s="123"/>
      <c r="W80" s="123"/>
      <c r="X80" s="123"/>
      <c r="Y80" s="123"/>
      <c r="Z80" s="123"/>
    </row>
    <row r="81" spans="4:26" ht="13.5" customHeight="1">
      <c r="D81" s="5"/>
      <c r="E81" s="5"/>
      <c r="F81" s="5"/>
      <c r="G81" s="5"/>
      <c r="H81" s="5"/>
      <c r="I81" s="5"/>
      <c r="N81" s="5"/>
      <c r="O81" s="5"/>
      <c r="P81" s="5"/>
      <c r="Q81" s="5"/>
      <c r="R81" s="5"/>
      <c r="S81" s="5"/>
      <c r="U81" s="123"/>
    </row>
    <row r="82" spans="4:26" ht="13.5" customHeight="1">
      <c r="D82" s="5"/>
      <c r="E82" s="5"/>
      <c r="F82" s="5"/>
      <c r="G82" s="5"/>
      <c r="H82" s="5"/>
      <c r="I82" s="5"/>
      <c r="N82" s="5"/>
      <c r="O82" s="5"/>
      <c r="P82" s="5"/>
      <c r="Q82" s="5"/>
      <c r="R82" s="5"/>
      <c r="S82" s="5"/>
      <c r="U82" s="123"/>
      <c r="V82" s="123"/>
      <c r="W82" s="123"/>
      <c r="X82" s="123"/>
      <c r="Y82" s="123"/>
      <c r="Z82" s="123"/>
    </row>
    <row r="83" spans="4:26" ht="13.5" customHeight="1">
      <c r="D83" s="5"/>
      <c r="E83" s="5"/>
      <c r="F83" s="5"/>
      <c r="G83" s="5"/>
      <c r="H83" s="5"/>
      <c r="I83" s="5"/>
      <c r="N83" s="5"/>
      <c r="O83" s="5"/>
      <c r="P83" s="5"/>
      <c r="Q83" s="5"/>
      <c r="R83" s="5"/>
      <c r="S83" s="5"/>
      <c r="U83" s="123"/>
      <c r="V83" s="123"/>
      <c r="W83" s="123"/>
      <c r="X83" s="123"/>
      <c r="Y83" s="123"/>
      <c r="Z83" s="123"/>
    </row>
    <row r="84" spans="4:26" ht="13.5" customHeight="1">
      <c r="D84" s="5"/>
      <c r="E84" s="5"/>
      <c r="F84" s="5"/>
      <c r="G84" s="5"/>
      <c r="H84" s="5"/>
      <c r="I84" s="5"/>
      <c r="N84" s="5"/>
      <c r="O84" s="5"/>
      <c r="P84" s="5"/>
      <c r="Q84" s="5"/>
      <c r="R84" s="5"/>
      <c r="S84" s="5"/>
      <c r="U84" s="123"/>
      <c r="V84" s="123"/>
      <c r="W84" s="123"/>
      <c r="X84" s="123"/>
      <c r="Y84" s="123"/>
      <c r="Z84" s="123"/>
    </row>
    <row r="85" spans="4:26" ht="13.5" customHeight="1">
      <c r="D85" s="5"/>
      <c r="E85" s="5"/>
      <c r="F85" s="5"/>
      <c r="V85" s="123"/>
      <c r="W85" s="123"/>
      <c r="X85" s="123"/>
      <c r="Y85" s="123"/>
      <c r="Z85" s="123"/>
    </row>
    <row r="86" spans="4:26" ht="13.5" customHeight="1">
      <c r="D86" s="5"/>
      <c r="E86" s="5"/>
      <c r="F86" s="5"/>
      <c r="G86" s="5"/>
      <c r="H86" s="5"/>
      <c r="I86" s="5"/>
      <c r="N86" s="5"/>
      <c r="O86" s="5"/>
      <c r="P86" s="5"/>
      <c r="Q86" s="5"/>
      <c r="R86" s="5"/>
      <c r="S86" s="5"/>
      <c r="U86" s="123"/>
      <c r="V86" s="123"/>
      <c r="W86" s="123"/>
      <c r="X86" s="123"/>
      <c r="Y86" s="123"/>
      <c r="Z86" s="123"/>
    </row>
    <row r="87" spans="4:26" ht="14.15" customHeight="1">
      <c r="D87" s="5"/>
      <c r="E87" s="5"/>
      <c r="F87" s="5"/>
      <c r="G87" s="5"/>
      <c r="H87" s="5"/>
      <c r="I87" s="5"/>
      <c r="N87" s="5"/>
      <c r="O87" s="5"/>
      <c r="P87" s="5"/>
      <c r="Q87" s="5"/>
      <c r="R87" s="5"/>
      <c r="S87" s="5"/>
      <c r="U87" s="123"/>
    </row>
    <row r="88" spans="4:26" ht="14.15" customHeight="1">
      <c r="D88" s="5"/>
      <c r="E88" s="5"/>
      <c r="F88" s="5"/>
      <c r="G88" s="5"/>
      <c r="H88" s="5"/>
      <c r="I88" s="5"/>
      <c r="N88" s="5"/>
      <c r="O88" s="5"/>
      <c r="P88" s="5"/>
      <c r="Q88" s="5"/>
      <c r="R88" s="5"/>
      <c r="S88" s="5"/>
      <c r="U88" s="123"/>
      <c r="V88" s="123"/>
      <c r="W88" s="123"/>
      <c r="X88" s="123"/>
    </row>
    <row r="89" spans="4:26" ht="14.15" customHeight="1">
      <c r="D89" s="5"/>
      <c r="E89" s="5"/>
      <c r="F89" s="5"/>
      <c r="G89" s="5"/>
      <c r="H89" s="5"/>
      <c r="I89" s="5"/>
      <c r="N89" s="5"/>
      <c r="O89" s="5"/>
      <c r="P89" s="5"/>
      <c r="Q89" s="5"/>
      <c r="R89" s="5"/>
      <c r="S89" s="5"/>
      <c r="U89" s="123"/>
      <c r="V89" s="123"/>
      <c r="W89" s="123"/>
      <c r="X89" s="123"/>
    </row>
    <row r="90" spans="4:26" ht="14.15" customHeight="1">
      <c r="D90" s="5"/>
      <c r="E90" s="5"/>
      <c r="F90" s="5"/>
      <c r="G90" s="5"/>
      <c r="H90" s="5"/>
      <c r="I90" s="5"/>
      <c r="N90" s="5"/>
      <c r="O90" s="5"/>
      <c r="P90" s="5"/>
      <c r="Q90" s="5"/>
      <c r="R90" s="5"/>
      <c r="S90" s="5"/>
      <c r="U90" s="123"/>
      <c r="V90" s="123"/>
      <c r="W90" s="123"/>
      <c r="X90" s="123"/>
      <c r="Y90" s="123"/>
      <c r="Z90" s="123"/>
    </row>
    <row r="91" spans="4:26" ht="14.15" customHeight="1">
      <c r="V91" s="123"/>
      <c r="W91" s="123"/>
      <c r="X91" s="123"/>
      <c r="Y91" s="123"/>
      <c r="Z91" s="123"/>
    </row>
    <row r="92" spans="4:26" ht="14.15" customHeight="1">
      <c r="D92" s="5"/>
      <c r="E92" s="5"/>
      <c r="F92" s="5"/>
      <c r="G92" s="5"/>
      <c r="H92" s="5"/>
      <c r="I92" s="5"/>
      <c r="N92" s="5"/>
      <c r="O92" s="5"/>
      <c r="P92" s="5"/>
      <c r="Q92" s="5"/>
      <c r="R92" s="5"/>
      <c r="S92" s="5"/>
      <c r="U92" s="123"/>
      <c r="V92" s="123"/>
      <c r="W92" s="123"/>
      <c r="X92" s="123"/>
      <c r="Y92" s="123"/>
      <c r="Z92" s="123"/>
    </row>
    <row r="93" spans="4:26" ht="14.15" customHeight="1">
      <c r="D93" s="5"/>
      <c r="E93" s="5"/>
      <c r="F93" s="5"/>
      <c r="G93" s="5"/>
      <c r="H93" s="5"/>
      <c r="I93" s="5"/>
      <c r="N93" s="5"/>
      <c r="O93" s="5"/>
      <c r="P93" s="5"/>
      <c r="Q93" s="5"/>
      <c r="R93" s="5"/>
      <c r="S93" s="5"/>
      <c r="U93" s="123"/>
      <c r="V93" s="123"/>
      <c r="W93" s="123"/>
      <c r="X93" s="123"/>
      <c r="Y93" s="123"/>
      <c r="Z93" s="123"/>
    </row>
    <row r="94" spans="4:26" ht="14.15" customHeight="1">
      <c r="D94" s="5"/>
      <c r="E94" s="5"/>
      <c r="F94" s="5"/>
      <c r="G94" s="5"/>
      <c r="H94" s="5"/>
      <c r="I94" s="5"/>
      <c r="N94" s="5"/>
      <c r="O94" s="5"/>
      <c r="P94" s="5"/>
      <c r="Q94" s="5"/>
      <c r="R94" s="5"/>
      <c r="S94" s="5"/>
      <c r="U94" s="123"/>
      <c r="V94" s="123"/>
      <c r="W94" s="123"/>
      <c r="X94" s="123"/>
      <c r="Y94" s="123"/>
      <c r="Z94" s="123"/>
    </row>
    <row r="95" spans="4:26" ht="14.15" customHeight="1">
      <c r="D95" s="5"/>
      <c r="E95" s="5"/>
      <c r="F95" s="5"/>
      <c r="G95" s="5"/>
      <c r="H95" s="5"/>
      <c r="I95" s="5"/>
      <c r="N95" s="5"/>
      <c r="O95" s="5"/>
      <c r="P95" s="5"/>
      <c r="Q95" s="5"/>
      <c r="R95" s="5"/>
      <c r="S95" s="5"/>
      <c r="U95" s="123"/>
      <c r="V95" s="123"/>
      <c r="W95" s="123"/>
      <c r="X95" s="123"/>
      <c r="Y95" s="123"/>
      <c r="Z95" s="123"/>
    </row>
    <row r="96" spans="4:26" ht="14.15" customHeight="1">
      <c r="D96" s="5"/>
      <c r="E96" s="5"/>
      <c r="F96" s="5"/>
      <c r="G96" s="5"/>
      <c r="H96" s="5"/>
      <c r="I96" s="5"/>
      <c r="N96" s="5"/>
      <c r="O96" s="5"/>
      <c r="P96" s="5"/>
      <c r="Q96" s="5"/>
      <c r="R96" s="5"/>
      <c r="S96" s="5"/>
      <c r="U96" s="123"/>
      <c r="V96" s="123"/>
      <c r="W96" s="123"/>
      <c r="X96" s="123"/>
      <c r="Y96" s="123"/>
      <c r="Z96" s="123"/>
    </row>
    <row r="97" spans="4:29" ht="14.15" customHeight="1">
      <c r="D97" s="5"/>
      <c r="E97" s="5"/>
      <c r="F97" s="5"/>
      <c r="G97" s="5"/>
      <c r="H97" s="5"/>
      <c r="I97" s="5"/>
      <c r="N97" s="5"/>
      <c r="O97" s="5"/>
      <c r="P97" s="5"/>
      <c r="Q97" s="5"/>
      <c r="R97" s="5"/>
      <c r="S97" s="5"/>
      <c r="U97" s="123"/>
      <c r="V97" s="123"/>
      <c r="W97" s="123"/>
      <c r="X97" s="123"/>
      <c r="Y97" s="123"/>
      <c r="Z97" s="123"/>
    </row>
    <row r="98" spans="4:29" ht="14.15" customHeight="1">
      <c r="D98" s="5"/>
      <c r="E98" s="5"/>
      <c r="F98" s="5"/>
      <c r="G98" s="5"/>
      <c r="H98" s="5"/>
      <c r="I98" s="5"/>
      <c r="N98" s="5"/>
      <c r="O98" s="5"/>
      <c r="P98" s="5"/>
      <c r="Q98" s="5"/>
      <c r="R98" s="5"/>
      <c r="S98" s="5"/>
      <c r="U98" s="123"/>
      <c r="V98" s="123"/>
      <c r="W98" s="123"/>
      <c r="X98" s="123"/>
      <c r="Y98" s="123"/>
      <c r="Z98" s="123"/>
    </row>
    <row r="99" spans="4:29" ht="14.15" customHeight="1">
      <c r="D99" s="5"/>
      <c r="E99" s="5"/>
      <c r="F99" s="5"/>
      <c r="G99" s="5"/>
      <c r="H99" s="5"/>
      <c r="I99" s="5"/>
      <c r="N99" s="5"/>
      <c r="O99" s="5"/>
      <c r="P99" s="5"/>
      <c r="Q99" s="5"/>
      <c r="R99" s="5"/>
      <c r="S99" s="5"/>
      <c r="U99" s="123"/>
      <c r="V99" s="123"/>
      <c r="W99" s="123"/>
      <c r="X99" s="123"/>
      <c r="Y99" s="123"/>
      <c r="Z99" s="123"/>
    </row>
    <row r="100" spans="4:29" ht="14.15" customHeight="1">
      <c r="D100" s="5"/>
      <c r="E100" s="5"/>
      <c r="F100" s="5"/>
      <c r="G100" s="5"/>
      <c r="H100" s="5"/>
      <c r="I100" s="5"/>
      <c r="N100" s="5"/>
      <c r="O100" s="5"/>
      <c r="P100" s="5"/>
      <c r="Q100" s="5"/>
      <c r="R100" s="5"/>
      <c r="S100" s="5"/>
      <c r="U100" s="123"/>
      <c r="AB100" s="121"/>
      <c r="AC100" s="120"/>
    </row>
    <row r="101" spans="4:29" ht="14.15" customHeight="1">
      <c r="D101" s="5"/>
      <c r="E101" s="5"/>
      <c r="F101" s="5"/>
      <c r="G101" s="5"/>
      <c r="H101" s="5"/>
      <c r="I101" s="5"/>
      <c r="N101" s="5"/>
      <c r="O101" s="5"/>
      <c r="P101" s="5"/>
      <c r="Q101" s="5"/>
      <c r="R101" s="5"/>
      <c r="S101" s="5"/>
      <c r="U101" s="123"/>
      <c r="V101" s="123"/>
      <c r="W101" s="123"/>
      <c r="X101" s="123"/>
      <c r="Y101" s="123"/>
      <c r="Z101" s="123"/>
    </row>
    <row r="102" spans="4:29" ht="14.15" customHeight="1">
      <c r="D102" s="5"/>
      <c r="E102" s="5"/>
      <c r="F102" s="5"/>
      <c r="G102" s="5"/>
      <c r="H102" s="5"/>
      <c r="I102" s="5"/>
      <c r="N102" s="5"/>
      <c r="O102" s="5"/>
      <c r="P102" s="5"/>
      <c r="Q102" s="5"/>
      <c r="R102" s="5"/>
      <c r="S102" s="5"/>
      <c r="U102" s="123"/>
      <c r="V102" s="123"/>
      <c r="W102" s="123"/>
      <c r="X102" s="123"/>
      <c r="Y102" s="123"/>
      <c r="Z102" s="123"/>
    </row>
    <row r="103" spans="4:29" ht="14.15" customHeight="1">
      <c r="D103" s="5"/>
      <c r="E103" s="5"/>
      <c r="F103" s="5"/>
      <c r="G103" s="5"/>
      <c r="H103" s="5"/>
      <c r="I103" s="5"/>
      <c r="N103" s="5"/>
      <c r="O103" s="5"/>
      <c r="P103" s="5"/>
      <c r="Q103" s="5"/>
      <c r="R103" s="5"/>
      <c r="S103" s="5"/>
      <c r="U103" s="123"/>
      <c r="V103" s="123"/>
      <c r="W103" s="123"/>
      <c r="X103" s="123"/>
      <c r="Y103" s="123"/>
      <c r="Z103" s="123"/>
    </row>
    <row r="104" spans="4:29" ht="14.15" customHeight="1">
      <c r="V104" s="123"/>
      <c r="W104" s="123"/>
      <c r="X104" s="123"/>
      <c r="Y104" s="123"/>
      <c r="Z104" s="123"/>
    </row>
    <row r="105" spans="4:29" ht="19.5" customHeight="1">
      <c r="D105" s="5"/>
      <c r="E105" s="5"/>
      <c r="F105" s="5"/>
      <c r="G105" s="5"/>
      <c r="H105" s="5"/>
      <c r="I105" s="5"/>
      <c r="N105" s="5"/>
      <c r="O105" s="5"/>
      <c r="P105" s="5"/>
      <c r="Q105" s="5"/>
      <c r="R105" s="5"/>
      <c r="S105" s="5"/>
      <c r="U105" s="123"/>
      <c r="V105" s="123"/>
      <c r="W105" s="123"/>
      <c r="X105" s="123"/>
      <c r="Y105" s="123"/>
      <c r="Z105" s="123"/>
    </row>
    <row r="106" spans="4:29" ht="14.15" customHeight="1">
      <c r="D106" s="5"/>
      <c r="E106" s="5"/>
      <c r="F106" s="5"/>
      <c r="G106" s="5"/>
      <c r="H106" s="5"/>
      <c r="I106" s="5"/>
      <c r="N106" s="5"/>
      <c r="O106" s="5"/>
      <c r="P106" s="5"/>
      <c r="Q106" s="5"/>
      <c r="R106" s="5"/>
      <c r="S106" s="5"/>
      <c r="U106" s="123"/>
      <c r="V106" s="123"/>
      <c r="W106" s="123"/>
      <c r="X106" s="123"/>
      <c r="Y106" s="123"/>
      <c r="Z106" s="123"/>
    </row>
    <row r="107" spans="4:29" ht="14.15" customHeight="1">
      <c r="D107" s="5"/>
      <c r="E107" s="5"/>
      <c r="F107" s="5"/>
      <c r="G107" s="5"/>
      <c r="H107" s="5"/>
      <c r="I107" s="5"/>
      <c r="N107" s="5"/>
      <c r="O107" s="5"/>
      <c r="P107" s="5"/>
      <c r="Q107" s="5"/>
      <c r="R107" s="5"/>
      <c r="S107" s="5"/>
      <c r="U107" s="123"/>
      <c r="V107" s="123"/>
      <c r="W107" s="123"/>
      <c r="X107" s="123"/>
      <c r="Y107" s="123"/>
      <c r="Z107" s="123"/>
    </row>
    <row r="108" spans="4:29" ht="14.15" customHeight="1">
      <c r="D108" s="5"/>
      <c r="E108" s="5"/>
      <c r="F108" s="5"/>
      <c r="G108" s="5"/>
      <c r="H108" s="5"/>
      <c r="I108" s="5"/>
      <c r="N108" s="5"/>
      <c r="O108" s="5"/>
      <c r="P108" s="5"/>
      <c r="Q108" s="5"/>
      <c r="R108" s="5"/>
      <c r="S108" s="5"/>
      <c r="U108" s="123"/>
      <c r="V108" s="123"/>
      <c r="W108" s="123"/>
      <c r="X108" s="123"/>
      <c r="Y108" s="123"/>
      <c r="Z108" s="123"/>
    </row>
    <row r="109" spans="4:29" ht="14.15" customHeight="1">
      <c r="D109" s="5"/>
      <c r="E109" s="5"/>
      <c r="F109" s="5"/>
      <c r="G109" s="5"/>
      <c r="H109" s="5"/>
      <c r="I109" s="5"/>
      <c r="N109" s="5"/>
      <c r="O109" s="5"/>
      <c r="P109" s="5"/>
      <c r="Q109" s="5"/>
      <c r="R109" s="5"/>
      <c r="S109" s="5"/>
      <c r="U109" s="123"/>
      <c r="V109" s="123"/>
      <c r="W109" s="123"/>
      <c r="X109" s="123"/>
      <c r="Y109" s="123"/>
      <c r="Z109" s="123"/>
    </row>
    <row r="110" spans="4:29" ht="14.15" customHeight="1">
      <c r="D110" s="5"/>
      <c r="E110" s="5"/>
      <c r="F110" s="5"/>
      <c r="G110" s="5"/>
      <c r="H110" s="5"/>
      <c r="I110" s="5"/>
      <c r="N110" s="5"/>
      <c r="O110" s="5"/>
      <c r="P110" s="5"/>
      <c r="Q110" s="5"/>
      <c r="R110" s="5"/>
      <c r="S110" s="5"/>
      <c r="U110" s="123"/>
      <c r="V110" s="123"/>
      <c r="W110" s="123"/>
      <c r="X110" s="123"/>
      <c r="Y110" s="123"/>
      <c r="Z110" s="123"/>
    </row>
    <row r="111" spans="4:29" ht="14.15" customHeight="1"/>
    <row r="112" spans="4:29" ht="14.15" customHeight="1"/>
    <row r="113" spans="35:37" ht="14.15" customHeight="1"/>
    <row r="114" spans="35:37" ht="14.15" customHeight="1"/>
    <row r="115" spans="35:37" ht="14.15" customHeight="1"/>
    <row r="116" spans="35:37" ht="14.15" customHeight="1"/>
    <row r="117" spans="35:37" ht="14.15" customHeight="1"/>
    <row r="118" spans="35:37" ht="14.15" customHeight="1"/>
    <row r="119" spans="35:37" ht="14.15" customHeight="1"/>
    <row r="120" spans="35:37" ht="14.15" customHeight="1">
      <c r="AI120" s="125"/>
      <c r="AJ120" s="125"/>
      <c r="AK120" s="125"/>
    </row>
    <row r="121" spans="35:37" ht="14.15" customHeight="1">
      <c r="AI121" s="125"/>
      <c r="AJ121" s="125"/>
      <c r="AK121" s="125"/>
    </row>
    <row r="122" spans="35:37" ht="14.15" customHeight="1">
      <c r="AI122" s="125"/>
      <c r="AJ122" s="125"/>
      <c r="AK122" s="125"/>
    </row>
    <row r="123" spans="35:37" ht="14.15" customHeight="1">
      <c r="AI123" s="125"/>
      <c r="AJ123" s="125"/>
      <c r="AK123" s="125"/>
    </row>
    <row r="124" spans="35:37" ht="14.15" customHeight="1">
      <c r="AI124" s="125"/>
      <c r="AJ124" s="125"/>
      <c r="AK124" s="125"/>
    </row>
    <row r="125" spans="35:37" ht="14.15" customHeight="1">
      <c r="AI125" s="125"/>
      <c r="AJ125" s="125"/>
      <c r="AK125" s="125"/>
    </row>
    <row r="126" spans="35:37" ht="14.15" customHeight="1">
      <c r="AI126" s="125"/>
      <c r="AJ126" s="125"/>
      <c r="AK126" s="125"/>
    </row>
    <row r="127" spans="35:37" ht="14.15" customHeight="1">
      <c r="AI127" s="125"/>
      <c r="AJ127" s="125"/>
      <c r="AK127" s="125"/>
    </row>
    <row r="128" spans="35:37">
      <c r="AI128" s="125"/>
      <c r="AJ128" s="125"/>
      <c r="AK128" s="125"/>
    </row>
    <row r="129" spans="2:34" s="125" customFormat="1" ht="12.7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2:34" s="125" customFormat="1" ht="12.7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2:34" s="125" customForma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2:34" s="125" customFormat="1" ht="12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2:34" s="125" customFormat="1" ht="12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2:34" s="125" customFormat="1" ht="12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2:34" s="125" customFormat="1" ht="12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2:34" s="125" customFormat="1" ht="12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2:34" s="125" customFormat="1" ht="12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2:34" s="125" customFormat="1" ht="12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2:34" s="125" customFormat="1" ht="12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2:34" s="125" customFormat="1" ht="12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2:34" s="125" customFormat="1" ht="12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2:34" s="125" customFormat="1" ht="12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2:34" s="125" customFormat="1" ht="12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2:34" s="125" customFormat="1" ht="12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2:34" s="125" customFormat="1" ht="12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2:34" s="125" customFormat="1" ht="12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2:34" s="125" customFormat="1" ht="12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2:34" s="125" customFormat="1" ht="12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2:34" s="125" customFormat="1" ht="12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2:34" s="125" customFormat="1" ht="12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2:34" s="125" customFormat="1" ht="12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2:34" s="125" customFormat="1" ht="12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2:34" s="125" customFormat="1" ht="12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2:34" s="125" customFormat="1" ht="12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2:34" s="125" customFormat="1" ht="12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2:34" s="125" customFormat="1" ht="12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2:34" s="125" customFormat="1" ht="12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2:34" s="125" customFormat="1" ht="12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2:34" s="125" customFormat="1" ht="12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2:34" s="125" customFormat="1" ht="12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2:37" s="125" customFormat="1" ht="12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2:37" s="125" customFormat="1" ht="12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2:37" s="125" customFormat="1" ht="12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2:37" s="125" customFormat="1" ht="20.2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2:37" s="125" customFormat="1" ht="12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2:37" s="125" customFormat="1" ht="12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2:37" s="125" customFormat="1" ht="12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2:37" s="125" customFormat="1" ht="20.2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2:37" s="125" customFormat="1" ht="20.2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2:37" s="125" customFormat="1" ht="12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2:37" s="125" customFormat="1" ht="24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126"/>
      <c r="AJ171" s="126"/>
      <c r="AK171" s="126"/>
    </row>
    <row r="172" spans="2:37" s="125" customFormat="1" ht="12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2:37" s="125" customFormat="1" ht="20.2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2:37" s="125" customFormat="1" ht="12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2:37" s="125" customFormat="1" ht="20.2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2:37" s="125" customFormat="1" ht="12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2:37" s="125" customFormat="1" ht="12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2:37" s="125" customFormat="1" ht="12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2:37" s="125" customFormat="1" ht="12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2:37" s="126" customFormat="1" ht="20.2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125"/>
      <c r="AJ180" s="125"/>
      <c r="AK180" s="125"/>
    </row>
    <row r="181" spans="2:37" s="125" customFormat="1" ht="12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2:37" s="125" customFormat="1" ht="12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2:37" s="125" customForma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2:37" s="125" customFormat="1" ht="12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2:37" s="125" customFormat="1" ht="12.7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2:37" s="125" customFormat="1" ht="12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2:37" s="125" customFormat="1" ht="12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2:37" s="125" customFormat="1" ht="12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2:37" s="125" customFormat="1" ht="12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2:37" s="125" customFormat="1" ht="12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2:37" s="125" customFormat="1" ht="12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2:37" s="125" customFormat="1" ht="12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2:37" s="125" customFormat="1" ht="12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2:37" s="125" customFormat="1" ht="12.7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2:37" s="125" customFormat="1" ht="12.7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2:37" s="125" customFormat="1" ht="12.7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2:37" s="125" customFormat="1" ht="12.7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2:37" s="125" customFormat="1" ht="12.7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2:37" s="125" customFormat="1" ht="20.2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2:37" s="125" customFormat="1" ht="12.7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2:37" s="125" customForma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2:37" s="125" customForma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2:37" s="125" customFormat="1" ht="20.2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2:37" s="125" customFormat="1" ht="20.2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2:37" s="125" customForma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2:37" s="125" customFormat="1" ht="24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126"/>
      <c r="AJ206" s="126"/>
      <c r="AK206" s="126"/>
    </row>
    <row r="207" spans="2:37" s="125" customForma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2:37" s="125" customFormat="1" ht="20.2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59" s="125" customForma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59" ht="20.25" customHeight="1"/>
    <row r="215" spans="1:59" s="126" customFormat="1" ht="24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8" spans="1:59" s="3" customForma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</sheetData>
  <mergeCells count="30">
    <mergeCell ref="D33:E33"/>
    <mergeCell ref="E35:R36"/>
    <mergeCell ref="B61:U62"/>
    <mergeCell ref="V26:V27"/>
    <mergeCell ref="W26:AJ26"/>
    <mergeCell ref="D30:E30"/>
    <mergeCell ref="D31:E31"/>
    <mergeCell ref="D32:E32"/>
    <mergeCell ref="W23:Y23"/>
    <mergeCell ref="Z23:AB23"/>
    <mergeCell ref="AC23:AE23"/>
    <mergeCell ref="AF23:AH23"/>
    <mergeCell ref="W24:Y24"/>
    <mergeCell ref="Z24:AB24"/>
    <mergeCell ref="AC24:AE24"/>
    <mergeCell ref="AF24:AH24"/>
    <mergeCell ref="W8:AM8"/>
    <mergeCell ref="C9:H9"/>
    <mergeCell ref="B2:AN2"/>
    <mergeCell ref="C4:D4"/>
    <mergeCell ref="E4:S4"/>
    <mergeCell ref="C5:D5"/>
    <mergeCell ref="K5:M5"/>
    <mergeCell ref="O5:P5"/>
    <mergeCell ref="Q5:R5"/>
    <mergeCell ref="C6:D6"/>
    <mergeCell ref="K6:M6"/>
    <mergeCell ref="C8:H8"/>
    <mergeCell ref="R8:S8"/>
    <mergeCell ref="V8:V9"/>
  </mergeCells>
  <printOptions horizontalCentered="1" verticalCentered="1"/>
  <pageMargins left="0.55118110236220474" right="0.35433070866141736" top="0.74803149606299213" bottom="0.74803149606299213" header="0.51181102362204722" footer="0.51181102362204722"/>
  <pageSetup paperSize="9" scale="5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Kittipat Tangittinunt</dc:creator>
  <cp:lastModifiedBy>Kittipat Tangittinunt</cp:lastModifiedBy>
  <dcterms:created xsi:type="dcterms:W3CDTF">2026-05-16T15:59:54Z</dcterms:created>
  <dcterms:modified xsi:type="dcterms:W3CDTF">2026-05-26T05:44:58Z</dcterms:modified>
</cp:coreProperties>
</file>